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Honda_Sales" sheetId="1" r:id="rId1"/>
  </sheets>
  <definedNames>
    <definedName name="_xlnm._FilterDatabase" localSheetId="0" hidden="1">Honda_Sales!$A$1:$X$1501</definedName>
  </definedNames>
  <calcPr calcId="144525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2" i="1"/>
</calcChain>
</file>

<file path=xl/sharedStrings.xml><?xml version="1.0" encoding="utf-8"?>
<sst xmlns="http://schemas.openxmlformats.org/spreadsheetml/2006/main" count="19524" uniqueCount="1597">
  <si>
    <t>Sale_ID</t>
  </si>
  <si>
    <t>Sale_Date</t>
  </si>
  <si>
    <t>Brand</t>
  </si>
  <si>
    <t>Dealer</t>
  </si>
  <si>
    <t>City</t>
  </si>
  <si>
    <t>Salesperson</t>
  </si>
  <si>
    <t>Model</t>
  </si>
  <si>
    <t>Vehicle_Year</t>
  </si>
  <si>
    <t>Fuel_Type</t>
  </si>
  <si>
    <t>Transmission</t>
  </si>
  <si>
    <t>Sale_Price_INR</t>
  </si>
  <si>
    <t>Vehicle_Cost_INR</t>
  </si>
  <si>
    <t>Gross_Profit_INR</t>
  </si>
  <si>
    <t>Customer_Age</t>
  </si>
  <si>
    <t>Customer_Gender</t>
  </si>
  <si>
    <t>Lead_Source</t>
  </si>
  <si>
    <t>Payment_Type</t>
  </si>
  <si>
    <t>Finance_Amount_INR</t>
  </si>
  <si>
    <t>Customer_Satisfaction</t>
  </si>
  <si>
    <t>Month</t>
  </si>
  <si>
    <t>Quarter</t>
  </si>
  <si>
    <t>Profit_Margin_%</t>
  </si>
  <si>
    <t>HONDA-00001</t>
  </si>
  <si>
    <t>HONDA-00002</t>
  </si>
  <si>
    <t>HONDA-00003</t>
  </si>
  <si>
    <t>HONDA-00004</t>
  </si>
  <si>
    <t>HONDA-00005</t>
  </si>
  <si>
    <t>HONDA-00006</t>
  </si>
  <si>
    <t>HONDA-00007</t>
  </si>
  <si>
    <t>HONDA-00008</t>
  </si>
  <si>
    <t>HONDA-00009</t>
  </si>
  <si>
    <t>HONDA-00010</t>
  </si>
  <si>
    <t>HONDA-00011</t>
  </si>
  <si>
    <t>HONDA-00012</t>
  </si>
  <si>
    <t>HONDA-00013</t>
  </si>
  <si>
    <t>HONDA-00014</t>
  </si>
  <si>
    <t>HONDA-00015</t>
  </si>
  <si>
    <t>HONDA-00016</t>
  </si>
  <si>
    <t>HONDA-00017</t>
  </si>
  <si>
    <t>HONDA-00018</t>
  </si>
  <si>
    <t>HONDA-00019</t>
  </si>
  <si>
    <t>HONDA-00020</t>
  </si>
  <si>
    <t>HONDA-00021</t>
  </si>
  <si>
    <t>HONDA-00022</t>
  </si>
  <si>
    <t>HONDA-00023</t>
  </si>
  <si>
    <t>HONDA-00024</t>
  </si>
  <si>
    <t>HONDA-00025</t>
  </si>
  <si>
    <t>HONDA-00026</t>
  </si>
  <si>
    <t>HONDA-00027</t>
  </si>
  <si>
    <t>HONDA-00028</t>
  </si>
  <si>
    <t>HONDA-00029</t>
  </si>
  <si>
    <t>HONDA-00030</t>
  </si>
  <si>
    <t>HONDA-00031</t>
  </si>
  <si>
    <t>HONDA-00032</t>
  </si>
  <si>
    <t>HONDA-00033</t>
  </si>
  <si>
    <t>HONDA-00034</t>
  </si>
  <si>
    <t>HONDA-00035</t>
  </si>
  <si>
    <t>HONDA-00036</t>
  </si>
  <si>
    <t>HONDA-00037</t>
  </si>
  <si>
    <t>HONDA-00038</t>
  </si>
  <si>
    <t>HONDA-00039</t>
  </si>
  <si>
    <t>HONDA-00040</t>
  </si>
  <si>
    <t>HONDA-00041</t>
  </si>
  <si>
    <t>HONDA-00042</t>
  </si>
  <si>
    <t>HONDA-00043</t>
  </si>
  <si>
    <t>HONDA-00044</t>
  </si>
  <si>
    <t>HONDA-00045</t>
  </si>
  <si>
    <t>HONDA-00046</t>
  </si>
  <si>
    <t>HONDA-00047</t>
  </si>
  <si>
    <t>HONDA-00048</t>
  </si>
  <si>
    <t>HONDA-00049</t>
  </si>
  <si>
    <t>HONDA-00050</t>
  </si>
  <si>
    <t>HONDA-00051</t>
  </si>
  <si>
    <t>HONDA-00052</t>
  </si>
  <si>
    <t>HONDA-00053</t>
  </si>
  <si>
    <t>HONDA-00054</t>
  </si>
  <si>
    <t>HONDA-00055</t>
  </si>
  <si>
    <t>HONDA-00056</t>
  </si>
  <si>
    <t>HONDA-00057</t>
  </si>
  <si>
    <t>HONDA-00058</t>
  </si>
  <si>
    <t>HONDA-00059</t>
  </si>
  <si>
    <t>HONDA-00060</t>
  </si>
  <si>
    <t>HONDA-00061</t>
  </si>
  <si>
    <t>HONDA-00062</t>
  </si>
  <si>
    <t>HONDA-00063</t>
  </si>
  <si>
    <t>HONDA-00064</t>
  </si>
  <si>
    <t>HONDA-00065</t>
  </si>
  <si>
    <t>HONDA-00066</t>
  </si>
  <si>
    <t>HONDA-00067</t>
  </si>
  <si>
    <t>HONDA-00068</t>
  </si>
  <si>
    <t>HONDA-00069</t>
  </si>
  <si>
    <t>HONDA-00070</t>
  </si>
  <si>
    <t>HONDA-00071</t>
  </si>
  <si>
    <t>HONDA-00072</t>
  </si>
  <si>
    <t>HONDA-00073</t>
  </si>
  <si>
    <t>HONDA-00074</t>
  </si>
  <si>
    <t>HONDA-00075</t>
  </si>
  <si>
    <t>HONDA-00076</t>
  </si>
  <si>
    <t>HONDA-00077</t>
  </si>
  <si>
    <t>HONDA-00078</t>
  </si>
  <si>
    <t>HONDA-00079</t>
  </si>
  <si>
    <t>HONDA-00080</t>
  </si>
  <si>
    <t>HONDA-00081</t>
  </si>
  <si>
    <t>HONDA-00082</t>
  </si>
  <si>
    <t>HONDA-00083</t>
  </si>
  <si>
    <t>HONDA-00084</t>
  </si>
  <si>
    <t>HONDA-00085</t>
  </si>
  <si>
    <t>HONDA-00086</t>
  </si>
  <si>
    <t>HONDA-00087</t>
  </si>
  <si>
    <t>HONDA-00088</t>
  </si>
  <si>
    <t>HONDA-00089</t>
  </si>
  <si>
    <t>HONDA-00090</t>
  </si>
  <si>
    <t>HONDA-00091</t>
  </si>
  <si>
    <t>HONDA-00092</t>
  </si>
  <si>
    <t>HONDA-00093</t>
  </si>
  <si>
    <t>HONDA-00094</t>
  </si>
  <si>
    <t>HONDA-00095</t>
  </si>
  <si>
    <t>HONDA-00096</t>
  </si>
  <si>
    <t>HONDA-00097</t>
  </si>
  <si>
    <t>HONDA-00098</t>
  </si>
  <si>
    <t>HONDA-00099</t>
  </si>
  <si>
    <t>HONDA-00100</t>
  </si>
  <si>
    <t>HONDA-00101</t>
  </si>
  <si>
    <t>HONDA-00102</t>
  </si>
  <si>
    <t>HONDA-00103</t>
  </si>
  <si>
    <t>HONDA-00104</t>
  </si>
  <si>
    <t>HONDA-00105</t>
  </si>
  <si>
    <t>HONDA-00106</t>
  </si>
  <si>
    <t>HONDA-00107</t>
  </si>
  <si>
    <t>HONDA-00108</t>
  </si>
  <si>
    <t>HONDA-00109</t>
  </si>
  <si>
    <t>HONDA-00110</t>
  </si>
  <si>
    <t>HONDA-00111</t>
  </si>
  <si>
    <t>HONDA-00112</t>
  </si>
  <si>
    <t>HONDA-00113</t>
  </si>
  <si>
    <t>HONDA-00114</t>
  </si>
  <si>
    <t>HONDA-00115</t>
  </si>
  <si>
    <t>HONDA-00116</t>
  </si>
  <si>
    <t>HONDA-00117</t>
  </si>
  <si>
    <t>HONDA-00118</t>
  </si>
  <si>
    <t>HONDA-00119</t>
  </si>
  <si>
    <t>HONDA-00120</t>
  </si>
  <si>
    <t>HONDA-00121</t>
  </si>
  <si>
    <t>HONDA-00122</t>
  </si>
  <si>
    <t>HONDA-00123</t>
  </si>
  <si>
    <t>HONDA-00124</t>
  </si>
  <si>
    <t>HONDA-00125</t>
  </si>
  <si>
    <t>HONDA-00126</t>
  </si>
  <si>
    <t>HONDA-00127</t>
  </si>
  <si>
    <t>HONDA-00128</t>
  </si>
  <si>
    <t>HONDA-00129</t>
  </si>
  <si>
    <t>HONDA-00130</t>
  </si>
  <si>
    <t>HONDA-00131</t>
  </si>
  <si>
    <t>HONDA-00132</t>
  </si>
  <si>
    <t>HONDA-00133</t>
  </si>
  <si>
    <t>HONDA-00134</t>
  </si>
  <si>
    <t>HONDA-00135</t>
  </si>
  <si>
    <t>HONDA-00136</t>
  </si>
  <si>
    <t>HONDA-00137</t>
  </si>
  <si>
    <t>HONDA-00138</t>
  </si>
  <si>
    <t>HONDA-00139</t>
  </si>
  <si>
    <t>HONDA-00140</t>
  </si>
  <si>
    <t>HONDA-00141</t>
  </si>
  <si>
    <t>HONDA-00142</t>
  </si>
  <si>
    <t>HONDA-00143</t>
  </si>
  <si>
    <t>HONDA-00144</t>
  </si>
  <si>
    <t>HONDA-00145</t>
  </si>
  <si>
    <t>HONDA-00146</t>
  </si>
  <si>
    <t>HONDA-00147</t>
  </si>
  <si>
    <t>HONDA-00148</t>
  </si>
  <si>
    <t>HONDA-00149</t>
  </si>
  <si>
    <t>HONDA-00150</t>
  </si>
  <si>
    <t>HONDA-00151</t>
  </si>
  <si>
    <t>HONDA-00152</t>
  </si>
  <si>
    <t>HONDA-00153</t>
  </si>
  <si>
    <t>HONDA-00154</t>
  </si>
  <si>
    <t>HONDA-00155</t>
  </si>
  <si>
    <t>HONDA-00156</t>
  </si>
  <si>
    <t>HONDA-00157</t>
  </si>
  <si>
    <t>HONDA-00158</t>
  </si>
  <si>
    <t>HONDA-00159</t>
  </si>
  <si>
    <t>HONDA-00160</t>
  </si>
  <si>
    <t>HONDA-00161</t>
  </si>
  <si>
    <t>HONDA-00162</t>
  </si>
  <si>
    <t>HONDA-00163</t>
  </si>
  <si>
    <t>HONDA-00164</t>
  </si>
  <si>
    <t>HONDA-00165</t>
  </si>
  <si>
    <t>HONDA-00166</t>
  </si>
  <si>
    <t>HONDA-00167</t>
  </si>
  <si>
    <t>HONDA-00168</t>
  </si>
  <si>
    <t>HONDA-00169</t>
  </si>
  <si>
    <t>HONDA-00170</t>
  </si>
  <si>
    <t>HONDA-00171</t>
  </si>
  <si>
    <t>HONDA-00172</t>
  </si>
  <si>
    <t>HONDA-00173</t>
  </si>
  <si>
    <t>HONDA-00174</t>
  </si>
  <si>
    <t>HONDA-00175</t>
  </si>
  <si>
    <t>HONDA-00176</t>
  </si>
  <si>
    <t>HONDA-00177</t>
  </si>
  <si>
    <t>HONDA-00178</t>
  </si>
  <si>
    <t>HONDA-00179</t>
  </si>
  <si>
    <t>HONDA-00180</t>
  </si>
  <si>
    <t>HONDA-00181</t>
  </si>
  <si>
    <t>HONDA-00182</t>
  </si>
  <si>
    <t>HONDA-00183</t>
  </si>
  <si>
    <t>HONDA-00184</t>
  </si>
  <si>
    <t>HONDA-00185</t>
  </si>
  <si>
    <t>HONDA-00186</t>
  </si>
  <si>
    <t>HONDA-00187</t>
  </si>
  <si>
    <t>HONDA-00188</t>
  </si>
  <si>
    <t>HONDA-00189</t>
  </si>
  <si>
    <t>HONDA-00190</t>
  </si>
  <si>
    <t>HONDA-00191</t>
  </si>
  <si>
    <t>HONDA-00192</t>
  </si>
  <si>
    <t>HONDA-00193</t>
  </si>
  <si>
    <t>HONDA-00194</t>
  </si>
  <si>
    <t>HONDA-00195</t>
  </si>
  <si>
    <t>HONDA-00196</t>
  </si>
  <si>
    <t>HONDA-00197</t>
  </si>
  <si>
    <t>HONDA-00198</t>
  </si>
  <si>
    <t>HONDA-00199</t>
  </si>
  <si>
    <t>HONDA-00200</t>
  </si>
  <si>
    <t>HONDA-00201</t>
  </si>
  <si>
    <t>HONDA-00202</t>
  </si>
  <si>
    <t>HONDA-00203</t>
  </si>
  <si>
    <t>HONDA-00204</t>
  </si>
  <si>
    <t>HONDA-00205</t>
  </si>
  <si>
    <t>HONDA-00206</t>
  </si>
  <si>
    <t>HONDA-00207</t>
  </si>
  <si>
    <t>HONDA-00208</t>
  </si>
  <si>
    <t>HONDA-00209</t>
  </si>
  <si>
    <t>HONDA-00210</t>
  </si>
  <si>
    <t>HONDA-00211</t>
  </si>
  <si>
    <t>HONDA-00212</t>
  </si>
  <si>
    <t>HONDA-00213</t>
  </si>
  <si>
    <t>HONDA-00214</t>
  </si>
  <si>
    <t>HONDA-00215</t>
  </si>
  <si>
    <t>HONDA-00216</t>
  </si>
  <si>
    <t>HONDA-00217</t>
  </si>
  <si>
    <t>HONDA-00218</t>
  </si>
  <si>
    <t>HONDA-00219</t>
  </si>
  <si>
    <t>HONDA-00220</t>
  </si>
  <si>
    <t>HONDA-00221</t>
  </si>
  <si>
    <t>HONDA-00222</t>
  </si>
  <si>
    <t>HONDA-00223</t>
  </si>
  <si>
    <t>HONDA-00224</t>
  </si>
  <si>
    <t>HONDA-00225</t>
  </si>
  <si>
    <t>HONDA-00226</t>
  </si>
  <si>
    <t>HONDA-00227</t>
  </si>
  <si>
    <t>HONDA-00228</t>
  </si>
  <si>
    <t>HONDA-00229</t>
  </si>
  <si>
    <t>HONDA-00230</t>
  </si>
  <si>
    <t>HONDA-00231</t>
  </si>
  <si>
    <t>HONDA-00232</t>
  </si>
  <si>
    <t>HONDA-00233</t>
  </si>
  <si>
    <t>HONDA-00234</t>
  </si>
  <si>
    <t>HONDA-00235</t>
  </si>
  <si>
    <t>HONDA-00236</t>
  </si>
  <si>
    <t>HONDA-00237</t>
  </si>
  <si>
    <t>HONDA-00238</t>
  </si>
  <si>
    <t>HONDA-00239</t>
  </si>
  <si>
    <t>HONDA-00240</t>
  </si>
  <si>
    <t>HONDA-00241</t>
  </si>
  <si>
    <t>HONDA-00242</t>
  </si>
  <si>
    <t>HONDA-00243</t>
  </si>
  <si>
    <t>HONDA-00244</t>
  </si>
  <si>
    <t>HONDA-00245</t>
  </si>
  <si>
    <t>HONDA-00246</t>
  </si>
  <si>
    <t>HONDA-00247</t>
  </si>
  <si>
    <t>HONDA-00248</t>
  </si>
  <si>
    <t>HONDA-00249</t>
  </si>
  <si>
    <t>HONDA-00250</t>
  </si>
  <si>
    <t>HONDA-00251</t>
  </si>
  <si>
    <t>HONDA-00252</t>
  </si>
  <si>
    <t>HONDA-00253</t>
  </si>
  <si>
    <t>HONDA-00254</t>
  </si>
  <si>
    <t>HONDA-00255</t>
  </si>
  <si>
    <t>HONDA-00256</t>
  </si>
  <si>
    <t>HONDA-00257</t>
  </si>
  <si>
    <t>HONDA-00258</t>
  </si>
  <si>
    <t>HONDA-00259</t>
  </si>
  <si>
    <t>HONDA-00260</t>
  </si>
  <si>
    <t>HONDA-00261</t>
  </si>
  <si>
    <t>HONDA-00262</t>
  </si>
  <si>
    <t>HONDA-00263</t>
  </si>
  <si>
    <t>HONDA-00264</t>
  </si>
  <si>
    <t>HONDA-00265</t>
  </si>
  <si>
    <t>HONDA-00266</t>
  </si>
  <si>
    <t>HONDA-00267</t>
  </si>
  <si>
    <t>HONDA-00268</t>
  </si>
  <si>
    <t>HONDA-00269</t>
  </si>
  <si>
    <t>HONDA-00270</t>
  </si>
  <si>
    <t>HONDA-00271</t>
  </si>
  <si>
    <t>HONDA-00272</t>
  </si>
  <si>
    <t>HONDA-00273</t>
  </si>
  <si>
    <t>HONDA-00274</t>
  </si>
  <si>
    <t>HONDA-00275</t>
  </si>
  <si>
    <t>HONDA-00276</t>
  </si>
  <si>
    <t>HONDA-00277</t>
  </si>
  <si>
    <t>HONDA-00278</t>
  </si>
  <si>
    <t>HONDA-00279</t>
  </si>
  <si>
    <t>HONDA-00280</t>
  </si>
  <si>
    <t>HONDA-00281</t>
  </si>
  <si>
    <t>HONDA-00282</t>
  </si>
  <si>
    <t>HONDA-00283</t>
  </si>
  <si>
    <t>HONDA-00284</t>
  </si>
  <si>
    <t>HONDA-00285</t>
  </si>
  <si>
    <t>HONDA-00286</t>
  </si>
  <si>
    <t>HONDA-00287</t>
  </si>
  <si>
    <t>HONDA-00288</t>
  </si>
  <si>
    <t>HONDA-00289</t>
  </si>
  <si>
    <t>HONDA-00290</t>
  </si>
  <si>
    <t>HONDA-00291</t>
  </si>
  <si>
    <t>HONDA-00292</t>
  </si>
  <si>
    <t>HONDA-00293</t>
  </si>
  <si>
    <t>HONDA-00294</t>
  </si>
  <si>
    <t>HONDA-00295</t>
  </si>
  <si>
    <t>HONDA-00296</t>
  </si>
  <si>
    <t>HONDA-00297</t>
  </si>
  <si>
    <t>HONDA-00298</t>
  </si>
  <si>
    <t>HONDA-00299</t>
  </si>
  <si>
    <t>HONDA-00300</t>
  </si>
  <si>
    <t>HONDA-00301</t>
  </si>
  <si>
    <t>HONDA-00302</t>
  </si>
  <si>
    <t>HONDA-00303</t>
  </si>
  <si>
    <t>HONDA-00304</t>
  </si>
  <si>
    <t>HONDA-00305</t>
  </si>
  <si>
    <t>HONDA-00306</t>
  </si>
  <si>
    <t>HONDA-00307</t>
  </si>
  <si>
    <t>HONDA-00308</t>
  </si>
  <si>
    <t>HONDA-00309</t>
  </si>
  <si>
    <t>HONDA-00310</t>
  </si>
  <si>
    <t>HONDA-00311</t>
  </si>
  <si>
    <t>HONDA-00312</t>
  </si>
  <si>
    <t>HONDA-00313</t>
  </si>
  <si>
    <t>HONDA-00314</t>
  </si>
  <si>
    <t>HONDA-00315</t>
  </si>
  <si>
    <t>HONDA-00316</t>
  </si>
  <si>
    <t>HONDA-00317</t>
  </si>
  <si>
    <t>HONDA-00318</t>
  </si>
  <si>
    <t>HONDA-00319</t>
  </si>
  <si>
    <t>HONDA-00320</t>
  </si>
  <si>
    <t>HONDA-00321</t>
  </si>
  <si>
    <t>HONDA-00322</t>
  </si>
  <si>
    <t>HONDA-00323</t>
  </si>
  <si>
    <t>HONDA-00324</t>
  </si>
  <si>
    <t>HONDA-00325</t>
  </si>
  <si>
    <t>HONDA-00326</t>
  </si>
  <si>
    <t>HONDA-00327</t>
  </si>
  <si>
    <t>HONDA-00328</t>
  </si>
  <si>
    <t>HONDA-00329</t>
  </si>
  <si>
    <t>HONDA-00330</t>
  </si>
  <si>
    <t>HONDA-00331</t>
  </si>
  <si>
    <t>HONDA-00332</t>
  </si>
  <si>
    <t>HONDA-00333</t>
  </si>
  <si>
    <t>HONDA-00334</t>
  </si>
  <si>
    <t>HONDA-00335</t>
  </si>
  <si>
    <t>HONDA-00336</t>
  </si>
  <si>
    <t>HONDA-00337</t>
  </si>
  <si>
    <t>HONDA-00338</t>
  </si>
  <si>
    <t>HONDA-00339</t>
  </si>
  <si>
    <t>HONDA-00340</t>
  </si>
  <si>
    <t>HONDA-00341</t>
  </si>
  <si>
    <t>HONDA-00342</t>
  </si>
  <si>
    <t>HONDA-00343</t>
  </si>
  <si>
    <t>HONDA-00344</t>
  </si>
  <si>
    <t>HONDA-00345</t>
  </si>
  <si>
    <t>HONDA-00346</t>
  </si>
  <si>
    <t>HONDA-00347</t>
  </si>
  <si>
    <t>HONDA-00348</t>
  </si>
  <si>
    <t>HONDA-00349</t>
  </si>
  <si>
    <t>HONDA-00350</t>
  </si>
  <si>
    <t>HONDA-00351</t>
  </si>
  <si>
    <t>HONDA-00352</t>
  </si>
  <si>
    <t>HONDA-00353</t>
  </si>
  <si>
    <t>HONDA-00354</t>
  </si>
  <si>
    <t>HONDA-00355</t>
  </si>
  <si>
    <t>HONDA-00356</t>
  </si>
  <si>
    <t>HONDA-00357</t>
  </si>
  <si>
    <t>HONDA-00358</t>
  </si>
  <si>
    <t>HONDA-00359</t>
  </si>
  <si>
    <t>HONDA-00360</t>
  </si>
  <si>
    <t>HONDA-00361</t>
  </si>
  <si>
    <t>HONDA-00362</t>
  </si>
  <si>
    <t>HONDA-00363</t>
  </si>
  <si>
    <t>HONDA-00364</t>
  </si>
  <si>
    <t>HONDA-00365</t>
  </si>
  <si>
    <t>HONDA-00366</t>
  </si>
  <si>
    <t>HONDA-00367</t>
  </si>
  <si>
    <t>HONDA-00368</t>
  </si>
  <si>
    <t>HONDA-00369</t>
  </si>
  <si>
    <t>HONDA-00370</t>
  </si>
  <si>
    <t>HONDA-00371</t>
  </si>
  <si>
    <t>HONDA-00372</t>
  </si>
  <si>
    <t>HONDA-00373</t>
  </si>
  <si>
    <t>HONDA-00374</t>
  </si>
  <si>
    <t>HONDA-00375</t>
  </si>
  <si>
    <t>HONDA-00376</t>
  </si>
  <si>
    <t>HONDA-00377</t>
  </si>
  <si>
    <t>HONDA-00378</t>
  </si>
  <si>
    <t>HONDA-00379</t>
  </si>
  <si>
    <t>HONDA-00380</t>
  </si>
  <si>
    <t>HONDA-00381</t>
  </si>
  <si>
    <t>HONDA-00382</t>
  </si>
  <si>
    <t>HONDA-00383</t>
  </si>
  <si>
    <t>HONDA-00384</t>
  </si>
  <si>
    <t>HONDA-00385</t>
  </si>
  <si>
    <t>HONDA-00386</t>
  </si>
  <si>
    <t>HONDA-00387</t>
  </si>
  <si>
    <t>HONDA-00388</t>
  </si>
  <si>
    <t>HONDA-00389</t>
  </si>
  <si>
    <t>HONDA-00390</t>
  </si>
  <si>
    <t>HONDA-00391</t>
  </si>
  <si>
    <t>HONDA-00392</t>
  </si>
  <si>
    <t>HONDA-00393</t>
  </si>
  <si>
    <t>HONDA-00394</t>
  </si>
  <si>
    <t>HONDA-00395</t>
  </si>
  <si>
    <t>HONDA-00396</t>
  </si>
  <si>
    <t>HONDA-00397</t>
  </si>
  <si>
    <t>HONDA-00398</t>
  </si>
  <si>
    <t>HONDA-00399</t>
  </si>
  <si>
    <t>HONDA-00400</t>
  </si>
  <si>
    <t>HONDA-00401</t>
  </si>
  <si>
    <t>HONDA-00402</t>
  </si>
  <si>
    <t>HONDA-00403</t>
  </si>
  <si>
    <t>HONDA-00404</t>
  </si>
  <si>
    <t>HONDA-00405</t>
  </si>
  <si>
    <t>HONDA-00406</t>
  </si>
  <si>
    <t>HONDA-00407</t>
  </si>
  <si>
    <t>HONDA-00408</t>
  </si>
  <si>
    <t>HONDA-00409</t>
  </si>
  <si>
    <t>HONDA-00410</t>
  </si>
  <si>
    <t>HONDA-00411</t>
  </si>
  <si>
    <t>HONDA-00412</t>
  </si>
  <si>
    <t>HONDA-00413</t>
  </si>
  <si>
    <t>HONDA-00414</t>
  </si>
  <si>
    <t>HONDA-00415</t>
  </si>
  <si>
    <t>HONDA-00416</t>
  </si>
  <si>
    <t>HONDA-00417</t>
  </si>
  <si>
    <t>HONDA-00418</t>
  </si>
  <si>
    <t>HONDA-00419</t>
  </si>
  <si>
    <t>HONDA-00420</t>
  </si>
  <si>
    <t>HONDA-00421</t>
  </si>
  <si>
    <t>HONDA-00422</t>
  </si>
  <si>
    <t>HONDA-00423</t>
  </si>
  <si>
    <t>HONDA-00424</t>
  </si>
  <si>
    <t>HONDA-00425</t>
  </si>
  <si>
    <t>HONDA-00426</t>
  </si>
  <si>
    <t>HONDA-00427</t>
  </si>
  <si>
    <t>HONDA-00428</t>
  </si>
  <si>
    <t>HONDA-00429</t>
  </si>
  <si>
    <t>HONDA-00430</t>
  </si>
  <si>
    <t>HONDA-00431</t>
  </si>
  <si>
    <t>HONDA-00432</t>
  </si>
  <si>
    <t>HONDA-00433</t>
  </si>
  <si>
    <t>HONDA-00434</t>
  </si>
  <si>
    <t>HONDA-00435</t>
  </si>
  <si>
    <t>HONDA-00436</t>
  </si>
  <si>
    <t>HONDA-00437</t>
  </si>
  <si>
    <t>HONDA-00438</t>
  </si>
  <si>
    <t>HONDA-00439</t>
  </si>
  <si>
    <t>HONDA-00440</t>
  </si>
  <si>
    <t>HONDA-00441</t>
  </si>
  <si>
    <t>HONDA-00442</t>
  </si>
  <si>
    <t>HONDA-00443</t>
  </si>
  <si>
    <t>HONDA-00444</t>
  </si>
  <si>
    <t>HONDA-00445</t>
  </si>
  <si>
    <t>HONDA-00446</t>
  </si>
  <si>
    <t>HONDA-00447</t>
  </si>
  <si>
    <t>HONDA-00448</t>
  </si>
  <si>
    <t>HONDA-00449</t>
  </si>
  <si>
    <t>HONDA-00450</t>
  </si>
  <si>
    <t>HONDA-00451</t>
  </si>
  <si>
    <t>HONDA-00452</t>
  </si>
  <si>
    <t>HONDA-00453</t>
  </si>
  <si>
    <t>HONDA-00454</t>
  </si>
  <si>
    <t>HONDA-00455</t>
  </si>
  <si>
    <t>HONDA-00456</t>
  </si>
  <si>
    <t>HONDA-00457</t>
  </si>
  <si>
    <t>HONDA-00458</t>
  </si>
  <si>
    <t>HONDA-00459</t>
  </si>
  <si>
    <t>HONDA-00460</t>
  </si>
  <si>
    <t>HONDA-00461</t>
  </si>
  <si>
    <t>HONDA-00462</t>
  </si>
  <si>
    <t>HONDA-00463</t>
  </si>
  <si>
    <t>HONDA-00464</t>
  </si>
  <si>
    <t>HONDA-00465</t>
  </si>
  <si>
    <t>HONDA-00466</t>
  </si>
  <si>
    <t>HONDA-00467</t>
  </si>
  <si>
    <t>HONDA-00468</t>
  </si>
  <si>
    <t>HONDA-00469</t>
  </si>
  <si>
    <t>HONDA-00470</t>
  </si>
  <si>
    <t>HONDA-00471</t>
  </si>
  <si>
    <t>HONDA-00472</t>
  </si>
  <si>
    <t>HONDA-00473</t>
  </si>
  <si>
    <t>HONDA-00474</t>
  </si>
  <si>
    <t>HONDA-00475</t>
  </si>
  <si>
    <t>HONDA-00476</t>
  </si>
  <si>
    <t>HONDA-00477</t>
  </si>
  <si>
    <t>HONDA-00478</t>
  </si>
  <si>
    <t>HONDA-00479</t>
  </si>
  <si>
    <t>HONDA-00480</t>
  </si>
  <si>
    <t>HONDA-00481</t>
  </si>
  <si>
    <t>HONDA-00482</t>
  </si>
  <si>
    <t>HONDA-00483</t>
  </si>
  <si>
    <t>HONDA-00484</t>
  </si>
  <si>
    <t>HONDA-00485</t>
  </si>
  <si>
    <t>HONDA-00486</t>
  </si>
  <si>
    <t>HONDA-00487</t>
  </si>
  <si>
    <t>HONDA-00488</t>
  </si>
  <si>
    <t>HONDA-00489</t>
  </si>
  <si>
    <t>HONDA-00490</t>
  </si>
  <si>
    <t>HONDA-00491</t>
  </si>
  <si>
    <t>HONDA-00492</t>
  </si>
  <si>
    <t>HONDA-00493</t>
  </si>
  <si>
    <t>HONDA-00494</t>
  </si>
  <si>
    <t>HONDA-00495</t>
  </si>
  <si>
    <t>HONDA-00496</t>
  </si>
  <si>
    <t>HONDA-00497</t>
  </si>
  <si>
    <t>HONDA-00498</t>
  </si>
  <si>
    <t>HONDA-00499</t>
  </si>
  <si>
    <t>HONDA-00500</t>
  </si>
  <si>
    <t>HONDA-00501</t>
  </si>
  <si>
    <t>HONDA-00502</t>
  </si>
  <si>
    <t>HONDA-00503</t>
  </si>
  <si>
    <t>HONDA-00504</t>
  </si>
  <si>
    <t>HONDA-00505</t>
  </si>
  <si>
    <t>HONDA-00506</t>
  </si>
  <si>
    <t>HONDA-00507</t>
  </si>
  <si>
    <t>HONDA-00508</t>
  </si>
  <si>
    <t>HONDA-00509</t>
  </si>
  <si>
    <t>HONDA-00510</t>
  </si>
  <si>
    <t>HONDA-00511</t>
  </si>
  <si>
    <t>HONDA-00512</t>
  </si>
  <si>
    <t>HONDA-00513</t>
  </si>
  <si>
    <t>HONDA-00514</t>
  </si>
  <si>
    <t>HONDA-00515</t>
  </si>
  <si>
    <t>HONDA-00516</t>
  </si>
  <si>
    <t>HONDA-00517</t>
  </si>
  <si>
    <t>HONDA-00518</t>
  </si>
  <si>
    <t>HONDA-00519</t>
  </si>
  <si>
    <t>HONDA-00520</t>
  </si>
  <si>
    <t>HONDA-00521</t>
  </si>
  <si>
    <t>HONDA-00522</t>
  </si>
  <si>
    <t>HONDA-00523</t>
  </si>
  <si>
    <t>HONDA-00524</t>
  </si>
  <si>
    <t>HONDA-00525</t>
  </si>
  <si>
    <t>HONDA-00526</t>
  </si>
  <si>
    <t>HONDA-00527</t>
  </si>
  <si>
    <t>HONDA-00528</t>
  </si>
  <si>
    <t>HONDA-00529</t>
  </si>
  <si>
    <t>HONDA-00530</t>
  </si>
  <si>
    <t>HONDA-00531</t>
  </si>
  <si>
    <t>HONDA-00532</t>
  </si>
  <si>
    <t>HONDA-00533</t>
  </si>
  <si>
    <t>HONDA-00534</t>
  </si>
  <si>
    <t>HONDA-00535</t>
  </si>
  <si>
    <t>HONDA-00536</t>
  </si>
  <si>
    <t>HONDA-00537</t>
  </si>
  <si>
    <t>HONDA-00538</t>
  </si>
  <si>
    <t>HONDA-00539</t>
  </si>
  <si>
    <t>HONDA-00540</t>
  </si>
  <si>
    <t>HONDA-00541</t>
  </si>
  <si>
    <t>HONDA-00542</t>
  </si>
  <si>
    <t>HONDA-00543</t>
  </si>
  <si>
    <t>HONDA-00544</t>
  </si>
  <si>
    <t>HONDA-00545</t>
  </si>
  <si>
    <t>HONDA-00546</t>
  </si>
  <si>
    <t>HONDA-00547</t>
  </si>
  <si>
    <t>HONDA-00548</t>
  </si>
  <si>
    <t>HONDA-00549</t>
  </si>
  <si>
    <t>HONDA-00550</t>
  </si>
  <si>
    <t>HONDA-00551</t>
  </si>
  <si>
    <t>HONDA-00552</t>
  </si>
  <si>
    <t>HONDA-00553</t>
  </si>
  <si>
    <t>HONDA-00554</t>
  </si>
  <si>
    <t>HONDA-00555</t>
  </si>
  <si>
    <t>HONDA-00556</t>
  </si>
  <si>
    <t>HONDA-00557</t>
  </si>
  <si>
    <t>HONDA-00558</t>
  </si>
  <si>
    <t>HONDA-00559</t>
  </si>
  <si>
    <t>HONDA-00560</t>
  </si>
  <si>
    <t>HONDA-00561</t>
  </si>
  <si>
    <t>HONDA-00562</t>
  </si>
  <si>
    <t>HONDA-00563</t>
  </si>
  <si>
    <t>HONDA-00564</t>
  </si>
  <si>
    <t>HONDA-00565</t>
  </si>
  <si>
    <t>HONDA-00566</t>
  </si>
  <si>
    <t>HONDA-00567</t>
  </si>
  <si>
    <t>HONDA-00568</t>
  </si>
  <si>
    <t>HONDA-00569</t>
  </si>
  <si>
    <t>HONDA-00570</t>
  </si>
  <si>
    <t>HONDA-00571</t>
  </si>
  <si>
    <t>HONDA-00572</t>
  </si>
  <si>
    <t>HONDA-00573</t>
  </si>
  <si>
    <t>HONDA-00574</t>
  </si>
  <si>
    <t>HONDA-00575</t>
  </si>
  <si>
    <t>HONDA-00576</t>
  </si>
  <si>
    <t>HONDA-00577</t>
  </si>
  <si>
    <t>HONDA-00578</t>
  </si>
  <si>
    <t>HONDA-00579</t>
  </si>
  <si>
    <t>HONDA-00580</t>
  </si>
  <si>
    <t>HONDA-00581</t>
  </si>
  <si>
    <t>HONDA-00582</t>
  </si>
  <si>
    <t>HONDA-00583</t>
  </si>
  <si>
    <t>HONDA-00584</t>
  </si>
  <si>
    <t>HONDA-00585</t>
  </si>
  <si>
    <t>HONDA-00586</t>
  </si>
  <si>
    <t>HONDA-00587</t>
  </si>
  <si>
    <t>HONDA-00588</t>
  </si>
  <si>
    <t>HONDA-00589</t>
  </si>
  <si>
    <t>HONDA-00590</t>
  </si>
  <si>
    <t>HONDA-00591</t>
  </si>
  <si>
    <t>HONDA-00592</t>
  </si>
  <si>
    <t>HONDA-00593</t>
  </si>
  <si>
    <t>HONDA-00594</t>
  </si>
  <si>
    <t>HONDA-00595</t>
  </si>
  <si>
    <t>HONDA-00596</t>
  </si>
  <si>
    <t>HONDA-00597</t>
  </si>
  <si>
    <t>HONDA-00598</t>
  </si>
  <si>
    <t>HONDA-00599</t>
  </si>
  <si>
    <t>HONDA-00600</t>
  </si>
  <si>
    <t>HONDA-00601</t>
  </si>
  <si>
    <t>HONDA-00602</t>
  </si>
  <si>
    <t>HONDA-00603</t>
  </si>
  <si>
    <t>HONDA-00604</t>
  </si>
  <si>
    <t>HONDA-00605</t>
  </si>
  <si>
    <t>HONDA-00606</t>
  </si>
  <si>
    <t>HONDA-00607</t>
  </si>
  <si>
    <t>HONDA-00608</t>
  </si>
  <si>
    <t>HONDA-00609</t>
  </si>
  <si>
    <t>HONDA-00610</t>
  </si>
  <si>
    <t>HONDA-00611</t>
  </si>
  <si>
    <t>HONDA-00612</t>
  </si>
  <si>
    <t>HONDA-00613</t>
  </si>
  <si>
    <t>HONDA-00614</t>
  </si>
  <si>
    <t>HONDA-00615</t>
  </si>
  <si>
    <t>HONDA-00616</t>
  </si>
  <si>
    <t>HONDA-00617</t>
  </si>
  <si>
    <t>HONDA-00618</t>
  </si>
  <si>
    <t>HONDA-00619</t>
  </si>
  <si>
    <t>HONDA-00620</t>
  </si>
  <si>
    <t>HONDA-00621</t>
  </si>
  <si>
    <t>HONDA-00622</t>
  </si>
  <si>
    <t>HONDA-00623</t>
  </si>
  <si>
    <t>HONDA-00624</t>
  </si>
  <si>
    <t>HONDA-00625</t>
  </si>
  <si>
    <t>HONDA-00626</t>
  </si>
  <si>
    <t>HONDA-00627</t>
  </si>
  <si>
    <t>HONDA-00628</t>
  </si>
  <si>
    <t>HONDA-00629</t>
  </si>
  <si>
    <t>HONDA-00630</t>
  </si>
  <si>
    <t>HONDA-00631</t>
  </si>
  <si>
    <t>HONDA-00632</t>
  </si>
  <si>
    <t>HONDA-00633</t>
  </si>
  <si>
    <t>HONDA-00634</t>
  </si>
  <si>
    <t>HONDA-00635</t>
  </si>
  <si>
    <t>HONDA-00636</t>
  </si>
  <si>
    <t>HONDA-00637</t>
  </si>
  <si>
    <t>HONDA-00638</t>
  </si>
  <si>
    <t>HONDA-00639</t>
  </si>
  <si>
    <t>HONDA-00640</t>
  </si>
  <si>
    <t>HONDA-00641</t>
  </si>
  <si>
    <t>HONDA-00642</t>
  </si>
  <si>
    <t>HONDA-00643</t>
  </si>
  <si>
    <t>HONDA-00644</t>
  </si>
  <si>
    <t>HONDA-00645</t>
  </si>
  <si>
    <t>HONDA-00646</t>
  </si>
  <si>
    <t>HONDA-00647</t>
  </si>
  <si>
    <t>HONDA-00648</t>
  </si>
  <si>
    <t>HONDA-00649</t>
  </si>
  <si>
    <t>HONDA-00650</t>
  </si>
  <si>
    <t>HONDA-00651</t>
  </si>
  <si>
    <t>HONDA-00652</t>
  </si>
  <si>
    <t>HONDA-00653</t>
  </si>
  <si>
    <t>HONDA-00654</t>
  </si>
  <si>
    <t>HONDA-00655</t>
  </si>
  <si>
    <t>HONDA-00656</t>
  </si>
  <si>
    <t>HONDA-00657</t>
  </si>
  <si>
    <t>HONDA-00658</t>
  </si>
  <si>
    <t>HONDA-00659</t>
  </si>
  <si>
    <t>HONDA-00660</t>
  </si>
  <si>
    <t>HONDA-00661</t>
  </si>
  <si>
    <t>HONDA-00662</t>
  </si>
  <si>
    <t>HONDA-00663</t>
  </si>
  <si>
    <t>HONDA-00664</t>
  </si>
  <si>
    <t>HONDA-00665</t>
  </si>
  <si>
    <t>HONDA-00666</t>
  </si>
  <si>
    <t>HONDA-00667</t>
  </si>
  <si>
    <t>HONDA-00668</t>
  </si>
  <si>
    <t>HONDA-00669</t>
  </si>
  <si>
    <t>HONDA-00670</t>
  </si>
  <si>
    <t>HONDA-00671</t>
  </si>
  <si>
    <t>HONDA-00672</t>
  </si>
  <si>
    <t>HONDA-00673</t>
  </si>
  <si>
    <t>HONDA-00674</t>
  </si>
  <si>
    <t>HONDA-00675</t>
  </si>
  <si>
    <t>HONDA-00676</t>
  </si>
  <si>
    <t>HONDA-00677</t>
  </si>
  <si>
    <t>HONDA-00678</t>
  </si>
  <si>
    <t>HONDA-00679</t>
  </si>
  <si>
    <t>HONDA-00680</t>
  </si>
  <si>
    <t>HONDA-00681</t>
  </si>
  <si>
    <t>HONDA-00682</t>
  </si>
  <si>
    <t>HONDA-00683</t>
  </si>
  <si>
    <t>HONDA-00684</t>
  </si>
  <si>
    <t>HONDA-00685</t>
  </si>
  <si>
    <t>HONDA-00686</t>
  </si>
  <si>
    <t>HONDA-00687</t>
  </si>
  <si>
    <t>HONDA-00688</t>
  </si>
  <si>
    <t>HONDA-00689</t>
  </si>
  <si>
    <t>HONDA-00690</t>
  </si>
  <si>
    <t>HONDA-00691</t>
  </si>
  <si>
    <t>HONDA-00692</t>
  </si>
  <si>
    <t>HONDA-00693</t>
  </si>
  <si>
    <t>HONDA-00694</t>
  </si>
  <si>
    <t>HONDA-00695</t>
  </si>
  <si>
    <t>HONDA-00696</t>
  </si>
  <si>
    <t>HONDA-00697</t>
  </si>
  <si>
    <t>HONDA-00698</t>
  </si>
  <si>
    <t>HONDA-00699</t>
  </si>
  <si>
    <t>HONDA-00700</t>
  </si>
  <si>
    <t>HONDA-00701</t>
  </si>
  <si>
    <t>HONDA-00702</t>
  </si>
  <si>
    <t>HONDA-00703</t>
  </si>
  <si>
    <t>HONDA-00704</t>
  </si>
  <si>
    <t>HONDA-00705</t>
  </si>
  <si>
    <t>HONDA-00706</t>
  </si>
  <si>
    <t>HONDA-00707</t>
  </si>
  <si>
    <t>HONDA-00708</t>
  </si>
  <si>
    <t>HONDA-00709</t>
  </si>
  <si>
    <t>HONDA-00710</t>
  </si>
  <si>
    <t>HONDA-00711</t>
  </si>
  <si>
    <t>HONDA-00712</t>
  </si>
  <si>
    <t>HONDA-00713</t>
  </si>
  <si>
    <t>HONDA-00714</t>
  </si>
  <si>
    <t>HONDA-00715</t>
  </si>
  <si>
    <t>HONDA-00716</t>
  </si>
  <si>
    <t>HONDA-00717</t>
  </si>
  <si>
    <t>HONDA-00718</t>
  </si>
  <si>
    <t>HONDA-00719</t>
  </si>
  <si>
    <t>HONDA-00720</t>
  </si>
  <si>
    <t>HONDA-00721</t>
  </si>
  <si>
    <t>HONDA-00722</t>
  </si>
  <si>
    <t>HONDA-00723</t>
  </si>
  <si>
    <t>HONDA-00724</t>
  </si>
  <si>
    <t>HONDA-00725</t>
  </si>
  <si>
    <t>HONDA-00726</t>
  </si>
  <si>
    <t>HONDA-00727</t>
  </si>
  <si>
    <t>HONDA-00728</t>
  </si>
  <si>
    <t>HONDA-00729</t>
  </si>
  <si>
    <t>HONDA-00730</t>
  </si>
  <si>
    <t>HONDA-00731</t>
  </si>
  <si>
    <t>HONDA-00732</t>
  </si>
  <si>
    <t>HONDA-00733</t>
  </si>
  <si>
    <t>HONDA-00734</t>
  </si>
  <si>
    <t>HONDA-00735</t>
  </si>
  <si>
    <t>HONDA-00736</t>
  </si>
  <si>
    <t>HONDA-00737</t>
  </si>
  <si>
    <t>HONDA-00738</t>
  </si>
  <si>
    <t>HONDA-00739</t>
  </si>
  <si>
    <t>HONDA-00740</t>
  </si>
  <si>
    <t>HONDA-00741</t>
  </si>
  <si>
    <t>HONDA-00742</t>
  </si>
  <si>
    <t>HONDA-00743</t>
  </si>
  <si>
    <t>HONDA-00744</t>
  </si>
  <si>
    <t>HONDA-00745</t>
  </si>
  <si>
    <t>HONDA-00746</t>
  </si>
  <si>
    <t>HONDA-00747</t>
  </si>
  <si>
    <t>HONDA-00748</t>
  </si>
  <si>
    <t>HONDA-00749</t>
  </si>
  <si>
    <t>HONDA-00750</t>
  </si>
  <si>
    <t>HONDA-00751</t>
  </si>
  <si>
    <t>HONDA-00752</t>
  </si>
  <si>
    <t>HONDA-00753</t>
  </si>
  <si>
    <t>HONDA-00754</t>
  </si>
  <si>
    <t>HONDA-00755</t>
  </si>
  <si>
    <t>HONDA-00756</t>
  </si>
  <si>
    <t>HONDA-00757</t>
  </si>
  <si>
    <t>HONDA-00758</t>
  </si>
  <si>
    <t>HONDA-00759</t>
  </si>
  <si>
    <t>HONDA-00760</t>
  </si>
  <si>
    <t>HONDA-00761</t>
  </si>
  <si>
    <t>HONDA-00762</t>
  </si>
  <si>
    <t>HONDA-00763</t>
  </si>
  <si>
    <t>HONDA-00764</t>
  </si>
  <si>
    <t>HONDA-00765</t>
  </si>
  <si>
    <t>HONDA-00766</t>
  </si>
  <si>
    <t>HONDA-00767</t>
  </si>
  <si>
    <t>HONDA-00768</t>
  </si>
  <si>
    <t>HONDA-00769</t>
  </si>
  <si>
    <t>HONDA-00770</t>
  </si>
  <si>
    <t>HONDA-00771</t>
  </si>
  <si>
    <t>HONDA-00772</t>
  </si>
  <si>
    <t>HONDA-00773</t>
  </si>
  <si>
    <t>HONDA-00774</t>
  </si>
  <si>
    <t>HONDA-00775</t>
  </si>
  <si>
    <t>HONDA-00776</t>
  </si>
  <si>
    <t>HONDA-00777</t>
  </si>
  <si>
    <t>HONDA-00778</t>
  </si>
  <si>
    <t>HONDA-00779</t>
  </si>
  <si>
    <t>HONDA-00780</t>
  </si>
  <si>
    <t>HONDA-00781</t>
  </si>
  <si>
    <t>HONDA-00782</t>
  </si>
  <si>
    <t>HONDA-00783</t>
  </si>
  <si>
    <t>HONDA-00784</t>
  </si>
  <si>
    <t>HONDA-00785</t>
  </si>
  <si>
    <t>HONDA-00786</t>
  </si>
  <si>
    <t>HONDA-00787</t>
  </si>
  <si>
    <t>HONDA-00788</t>
  </si>
  <si>
    <t>HONDA-00789</t>
  </si>
  <si>
    <t>HONDA-00790</t>
  </si>
  <si>
    <t>HONDA-00791</t>
  </si>
  <si>
    <t>HONDA-00792</t>
  </si>
  <si>
    <t>HONDA-00793</t>
  </si>
  <si>
    <t>HONDA-00794</t>
  </si>
  <si>
    <t>HONDA-00795</t>
  </si>
  <si>
    <t>HONDA-00796</t>
  </si>
  <si>
    <t>HONDA-00797</t>
  </si>
  <si>
    <t>HONDA-00798</t>
  </si>
  <si>
    <t>HONDA-00799</t>
  </si>
  <si>
    <t>HONDA-00800</t>
  </si>
  <si>
    <t>HONDA-00801</t>
  </si>
  <si>
    <t>HONDA-00802</t>
  </si>
  <si>
    <t>HONDA-00803</t>
  </si>
  <si>
    <t>HONDA-00804</t>
  </si>
  <si>
    <t>HONDA-00805</t>
  </si>
  <si>
    <t>HONDA-00806</t>
  </si>
  <si>
    <t>HONDA-00807</t>
  </si>
  <si>
    <t>HONDA-00808</t>
  </si>
  <si>
    <t>HONDA-00809</t>
  </si>
  <si>
    <t>HONDA-00810</t>
  </si>
  <si>
    <t>HONDA-00811</t>
  </si>
  <si>
    <t>HONDA-00812</t>
  </si>
  <si>
    <t>HONDA-00813</t>
  </si>
  <si>
    <t>HONDA-00814</t>
  </si>
  <si>
    <t>HONDA-00815</t>
  </si>
  <si>
    <t>HONDA-00816</t>
  </si>
  <si>
    <t>HONDA-00817</t>
  </si>
  <si>
    <t>HONDA-00818</t>
  </si>
  <si>
    <t>HONDA-00819</t>
  </si>
  <si>
    <t>HONDA-00820</t>
  </si>
  <si>
    <t>HONDA-00821</t>
  </si>
  <si>
    <t>HONDA-00822</t>
  </si>
  <si>
    <t>HONDA-00823</t>
  </si>
  <si>
    <t>HONDA-00824</t>
  </si>
  <si>
    <t>HONDA-00825</t>
  </si>
  <si>
    <t>HONDA-00826</t>
  </si>
  <si>
    <t>HONDA-00827</t>
  </si>
  <si>
    <t>HONDA-00828</t>
  </si>
  <si>
    <t>HONDA-00829</t>
  </si>
  <si>
    <t>HONDA-00830</t>
  </si>
  <si>
    <t>HONDA-00831</t>
  </si>
  <si>
    <t>HONDA-00832</t>
  </si>
  <si>
    <t>HONDA-00833</t>
  </si>
  <si>
    <t>HONDA-00834</t>
  </si>
  <si>
    <t>HONDA-00835</t>
  </si>
  <si>
    <t>HONDA-00836</t>
  </si>
  <si>
    <t>HONDA-00837</t>
  </si>
  <si>
    <t>HONDA-00838</t>
  </si>
  <si>
    <t>HONDA-00839</t>
  </si>
  <si>
    <t>HONDA-00840</t>
  </si>
  <si>
    <t>HONDA-00841</t>
  </si>
  <si>
    <t>HONDA-00842</t>
  </si>
  <si>
    <t>HONDA-00843</t>
  </si>
  <si>
    <t>HONDA-00844</t>
  </si>
  <si>
    <t>HONDA-00845</t>
  </si>
  <si>
    <t>HONDA-00846</t>
  </si>
  <si>
    <t>HONDA-00847</t>
  </si>
  <si>
    <t>HONDA-00848</t>
  </si>
  <si>
    <t>HONDA-00849</t>
  </si>
  <si>
    <t>HONDA-00850</t>
  </si>
  <si>
    <t>HONDA-00851</t>
  </si>
  <si>
    <t>HONDA-00852</t>
  </si>
  <si>
    <t>HONDA-00853</t>
  </si>
  <si>
    <t>HONDA-00854</t>
  </si>
  <si>
    <t>HONDA-00855</t>
  </si>
  <si>
    <t>HONDA-00856</t>
  </si>
  <si>
    <t>HONDA-00857</t>
  </si>
  <si>
    <t>HONDA-00858</t>
  </si>
  <si>
    <t>HONDA-00859</t>
  </si>
  <si>
    <t>HONDA-00860</t>
  </si>
  <si>
    <t>HONDA-00861</t>
  </si>
  <si>
    <t>HONDA-00862</t>
  </si>
  <si>
    <t>HONDA-00863</t>
  </si>
  <si>
    <t>HONDA-00864</t>
  </si>
  <si>
    <t>HONDA-00865</t>
  </si>
  <si>
    <t>HONDA-00866</t>
  </si>
  <si>
    <t>HONDA-00867</t>
  </si>
  <si>
    <t>HONDA-00868</t>
  </si>
  <si>
    <t>HONDA-00869</t>
  </si>
  <si>
    <t>HONDA-00870</t>
  </si>
  <si>
    <t>HONDA-00871</t>
  </si>
  <si>
    <t>HONDA-00872</t>
  </si>
  <si>
    <t>HONDA-00873</t>
  </si>
  <si>
    <t>HONDA-00874</t>
  </si>
  <si>
    <t>HONDA-00875</t>
  </si>
  <si>
    <t>HONDA-00876</t>
  </si>
  <si>
    <t>HONDA-00877</t>
  </si>
  <si>
    <t>HONDA-00878</t>
  </si>
  <si>
    <t>HONDA-00879</t>
  </si>
  <si>
    <t>HONDA-00880</t>
  </si>
  <si>
    <t>HONDA-00881</t>
  </si>
  <si>
    <t>HONDA-00882</t>
  </si>
  <si>
    <t>HONDA-00883</t>
  </si>
  <si>
    <t>HONDA-00884</t>
  </si>
  <si>
    <t>HONDA-00885</t>
  </si>
  <si>
    <t>HONDA-00886</t>
  </si>
  <si>
    <t>HONDA-00887</t>
  </si>
  <si>
    <t>HONDA-00888</t>
  </si>
  <si>
    <t>HONDA-00889</t>
  </si>
  <si>
    <t>HONDA-00890</t>
  </si>
  <si>
    <t>HONDA-00891</t>
  </si>
  <si>
    <t>HONDA-00892</t>
  </si>
  <si>
    <t>HONDA-00893</t>
  </si>
  <si>
    <t>HONDA-00894</t>
  </si>
  <si>
    <t>HONDA-00895</t>
  </si>
  <si>
    <t>HONDA-00896</t>
  </si>
  <si>
    <t>HONDA-00897</t>
  </si>
  <si>
    <t>HONDA-00898</t>
  </si>
  <si>
    <t>HONDA-00899</t>
  </si>
  <si>
    <t>HONDA-00900</t>
  </si>
  <si>
    <t>HONDA-00901</t>
  </si>
  <si>
    <t>HONDA-00902</t>
  </si>
  <si>
    <t>HONDA-00903</t>
  </si>
  <si>
    <t>HONDA-00904</t>
  </si>
  <si>
    <t>HONDA-00905</t>
  </si>
  <si>
    <t>HONDA-00906</t>
  </si>
  <si>
    <t>HONDA-00907</t>
  </si>
  <si>
    <t>HONDA-00908</t>
  </si>
  <si>
    <t>HONDA-00909</t>
  </si>
  <si>
    <t>HONDA-00910</t>
  </si>
  <si>
    <t>HONDA-00911</t>
  </si>
  <si>
    <t>HONDA-00912</t>
  </si>
  <si>
    <t>HONDA-00913</t>
  </si>
  <si>
    <t>HONDA-00914</t>
  </si>
  <si>
    <t>HONDA-00915</t>
  </si>
  <si>
    <t>HONDA-00916</t>
  </si>
  <si>
    <t>HONDA-00917</t>
  </si>
  <si>
    <t>HONDA-00918</t>
  </si>
  <si>
    <t>HONDA-00919</t>
  </si>
  <si>
    <t>HONDA-00920</t>
  </si>
  <si>
    <t>HONDA-00921</t>
  </si>
  <si>
    <t>HONDA-00922</t>
  </si>
  <si>
    <t>HONDA-00923</t>
  </si>
  <si>
    <t>HONDA-00924</t>
  </si>
  <si>
    <t>HONDA-00925</t>
  </si>
  <si>
    <t>HONDA-00926</t>
  </si>
  <si>
    <t>HONDA-00927</t>
  </si>
  <si>
    <t>HONDA-00928</t>
  </si>
  <si>
    <t>HONDA-00929</t>
  </si>
  <si>
    <t>HONDA-00930</t>
  </si>
  <si>
    <t>HONDA-00931</t>
  </si>
  <si>
    <t>HONDA-00932</t>
  </si>
  <si>
    <t>HONDA-00933</t>
  </si>
  <si>
    <t>HONDA-00934</t>
  </si>
  <si>
    <t>HONDA-00935</t>
  </si>
  <si>
    <t>HONDA-00936</t>
  </si>
  <si>
    <t>HONDA-00937</t>
  </si>
  <si>
    <t>HONDA-00938</t>
  </si>
  <si>
    <t>HONDA-00939</t>
  </si>
  <si>
    <t>HONDA-00940</t>
  </si>
  <si>
    <t>HONDA-00941</t>
  </si>
  <si>
    <t>HONDA-00942</t>
  </si>
  <si>
    <t>HONDA-00943</t>
  </si>
  <si>
    <t>HONDA-00944</t>
  </si>
  <si>
    <t>HONDA-00945</t>
  </si>
  <si>
    <t>HONDA-00946</t>
  </si>
  <si>
    <t>HONDA-00947</t>
  </si>
  <si>
    <t>HONDA-00948</t>
  </si>
  <si>
    <t>HONDA-00949</t>
  </si>
  <si>
    <t>HONDA-00950</t>
  </si>
  <si>
    <t>HONDA-00951</t>
  </si>
  <si>
    <t>HONDA-00952</t>
  </si>
  <si>
    <t>HONDA-00953</t>
  </si>
  <si>
    <t>HONDA-00954</t>
  </si>
  <si>
    <t>HONDA-00955</t>
  </si>
  <si>
    <t>HONDA-00956</t>
  </si>
  <si>
    <t>HONDA-00957</t>
  </si>
  <si>
    <t>HONDA-00958</t>
  </si>
  <si>
    <t>HONDA-00959</t>
  </si>
  <si>
    <t>HONDA-00960</t>
  </si>
  <si>
    <t>HONDA-00961</t>
  </si>
  <si>
    <t>HONDA-00962</t>
  </si>
  <si>
    <t>HONDA-00963</t>
  </si>
  <si>
    <t>HONDA-00964</t>
  </si>
  <si>
    <t>HONDA-00965</t>
  </si>
  <si>
    <t>HONDA-00966</t>
  </si>
  <si>
    <t>HONDA-00967</t>
  </si>
  <si>
    <t>HONDA-00968</t>
  </si>
  <si>
    <t>HONDA-00969</t>
  </si>
  <si>
    <t>HONDA-00970</t>
  </si>
  <si>
    <t>HONDA-00971</t>
  </si>
  <si>
    <t>HONDA-00972</t>
  </si>
  <si>
    <t>HONDA-00973</t>
  </si>
  <si>
    <t>HONDA-00974</t>
  </si>
  <si>
    <t>HONDA-00975</t>
  </si>
  <si>
    <t>HONDA-00976</t>
  </si>
  <si>
    <t>HONDA-00977</t>
  </si>
  <si>
    <t>HONDA-00978</t>
  </si>
  <si>
    <t>HONDA-00979</t>
  </si>
  <si>
    <t>HONDA-00980</t>
  </si>
  <si>
    <t>HONDA-00981</t>
  </si>
  <si>
    <t>HONDA-00982</t>
  </si>
  <si>
    <t>HONDA-00983</t>
  </si>
  <si>
    <t>HONDA-00984</t>
  </si>
  <si>
    <t>HONDA-00985</t>
  </si>
  <si>
    <t>HONDA-00986</t>
  </si>
  <si>
    <t>HONDA-00987</t>
  </si>
  <si>
    <t>HONDA-00988</t>
  </si>
  <si>
    <t>HONDA-00989</t>
  </si>
  <si>
    <t>HONDA-00990</t>
  </si>
  <si>
    <t>HONDA-00991</t>
  </si>
  <si>
    <t>HONDA-00992</t>
  </si>
  <si>
    <t>HONDA-00993</t>
  </si>
  <si>
    <t>HONDA-00994</t>
  </si>
  <si>
    <t>HONDA-00995</t>
  </si>
  <si>
    <t>HONDA-00996</t>
  </si>
  <si>
    <t>HONDA-00997</t>
  </si>
  <si>
    <t>HONDA-00998</t>
  </si>
  <si>
    <t>HONDA-00999</t>
  </si>
  <si>
    <t>HONDA-01000</t>
  </si>
  <si>
    <t>HONDA-01001</t>
  </si>
  <si>
    <t>HONDA-01002</t>
  </si>
  <si>
    <t>HONDA-01003</t>
  </si>
  <si>
    <t>HONDA-01004</t>
  </si>
  <si>
    <t>HONDA-01005</t>
  </si>
  <si>
    <t>HONDA-01006</t>
  </si>
  <si>
    <t>HONDA-01007</t>
  </si>
  <si>
    <t>HONDA-01008</t>
  </si>
  <si>
    <t>HONDA-01009</t>
  </si>
  <si>
    <t>HONDA-01010</t>
  </si>
  <si>
    <t>HONDA-01011</t>
  </si>
  <si>
    <t>HONDA-01012</t>
  </si>
  <si>
    <t>HONDA-01013</t>
  </si>
  <si>
    <t>HONDA-01014</t>
  </si>
  <si>
    <t>HONDA-01015</t>
  </si>
  <si>
    <t>HONDA-01016</t>
  </si>
  <si>
    <t>HONDA-01017</t>
  </si>
  <si>
    <t>HONDA-01018</t>
  </si>
  <si>
    <t>HONDA-01019</t>
  </si>
  <si>
    <t>HONDA-01020</t>
  </si>
  <si>
    <t>HONDA-01021</t>
  </si>
  <si>
    <t>HONDA-01022</t>
  </si>
  <si>
    <t>HONDA-01023</t>
  </si>
  <si>
    <t>HONDA-01024</t>
  </si>
  <si>
    <t>HONDA-01025</t>
  </si>
  <si>
    <t>HONDA-01026</t>
  </si>
  <si>
    <t>HONDA-01027</t>
  </si>
  <si>
    <t>HONDA-01028</t>
  </si>
  <si>
    <t>HONDA-01029</t>
  </si>
  <si>
    <t>HONDA-01030</t>
  </si>
  <si>
    <t>HONDA-01031</t>
  </si>
  <si>
    <t>HONDA-01032</t>
  </si>
  <si>
    <t>HONDA-01033</t>
  </si>
  <si>
    <t>HONDA-01034</t>
  </si>
  <si>
    <t>HONDA-01035</t>
  </si>
  <si>
    <t>HONDA-01036</t>
  </si>
  <si>
    <t>HONDA-01037</t>
  </si>
  <si>
    <t>HONDA-01038</t>
  </si>
  <si>
    <t>HONDA-01039</t>
  </si>
  <si>
    <t>HONDA-01040</t>
  </si>
  <si>
    <t>HONDA-01041</t>
  </si>
  <si>
    <t>HONDA-01042</t>
  </si>
  <si>
    <t>HONDA-01043</t>
  </si>
  <si>
    <t>HONDA-01044</t>
  </si>
  <si>
    <t>HONDA-01045</t>
  </si>
  <si>
    <t>HONDA-01046</t>
  </si>
  <si>
    <t>HONDA-01047</t>
  </si>
  <si>
    <t>HONDA-01048</t>
  </si>
  <si>
    <t>HONDA-01049</t>
  </si>
  <si>
    <t>HONDA-01050</t>
  </si>
  <si>
    <t>HONDA-01051</t>
  </si>
  <si>
    <t>HONDA-01052</t>
  </si>
  <si>
    <t>HONDA-01053</t>
  </si>
  <si>
    <t>HONDA-01054</t>
  </si>
  <si>
    <t>HONDA-01055</t>
  </si>
  <si>
    <t>HONDA-01056</t>
  </si>
  <si>
    <t>HONDA-01057</t>
  </si>
  <si>
    <t>HONDA-01058</t>
  </si>
  <si>
    <t>HONDA-01059</t>
  </si>
  <si>
    <t>HONDA-01060</t>
  </si>
  <si>
    <t>HONDA-01061</t>
  </si>
  <si>
    <t>HONDA-01062</t>
  </si>
  <si>
    <t>HONDA-01063</t>
  </si>
  <si>
    <t>HONDA-01064</t>
  </si>
  <si>
    <t>HONDA-01065</t>
  </si>
  <si>
    <t>HONDA-01066</t>
  </si>
  <si>
    <t>HONDA-01067</t>
  </si>
  <si>
    <t>HONDA-01068</t>
  </si>
  <si>
    <t>HONDA-01069</t>
  </si>
  <si>
    <t>HONDA-01070</t>
  </si>
  <si>
    <t>HONDA-01071</t>
  </si>
  <si>
    <t>HONDA-01072</t>
  </si>
  <si>
    <t>HONDA-01073</t>
  </si>
  <si>
    <t>HONDA-01074</t>
  </si>
  <si>
    <t>HONDA-01075</t>
  </si>
  <si>
    <t>HONDA-01076</t>
  </si>
  <si>
    <t>HONDA-01077</t>
  </si>
  <si>
    <t>HONDA-01078</t>
  </si>
  <si>
    <t>HONDA-01079</t>
  </si>
  <si>
    <t>HONDA-01080</t>
  </si>
  <si>
    <t>HONDA-01081</t>
  </si>
  <si>
    <t>HONDA-01082</t>
  </si>
  <si>
    <t>HONDA-01083</t>
  </si>
  <si>
    <t>HONDA-01084</t>
  </si>
  <si>
    <t>HONDA-01085</t>
  </si>
  <si>
    <t>HONDA-01086</t>
  </si>
  <si>
    <t>HONDA-01087</t>
  </si>
  <si>
    <t>HONDA-01088</t>
  </si>
  <si>
    <t>HONDA-01089</t>
  </si>
  <si>
    <t>HONDA-01090</t>
  </si>
  <si>
    <t>HONDA-01091</t>
  </si>
  <si>
    <t>HONDA-01092</t>
  </si>
  <si>
    <t>HONDA-01093</t>
  </si>
  <si>
    <t>HONDA-01094</t>
  </si>
  <si>
    <t>HONDA-01095</t>
  </si>
  <si>
    <t>HONDA-01096</t>
  </si>
  <si>
    <t>HONDA-01097</t>
  </si>
  <si>
    <t>HONDA-01098</t>
  </si>
  <si>
    <t>HONDA-01099</t>
  </si>
  <si>
    <t>HONDA-01100</t>
  </si>
  <si>
    <t>HONDA-01101</t>
  </si>
  <si>
    <t>HONDA-01102</t>
  </si>
  <si>
    <t>HONDA-01103</t>
  </si>
  <si>
    <t>HONDA-01104</t>
  </si>
  <si>
    <t>HONDA-01105</t>
  </si>
  <si>
    <t>HONDA-01106</t>
  </si>
  <si>
    <t>HONDA-01107</t>
  </si>
  <si>
    <t>HONDA-01108</t>
  </si>
  <si>
    <t>HONDA-01109</t>
  </si>
  <si>
    <t>HONDA-01110</t>
  </si>
  <si>
    <t>HONDA-01111</t>
  </si>
  <si>
    <t>HONDA-01112</t>
  </si>
  <si>
    <t>HONDA-01113</t>
  </si>
  <si>
    <t>HONDA-01114</t>
  </si>
  <si>
    <t>HONDA-01115</t>
  </si>
  <si>
    <t>HONDA-01116</t>
  </si>
  <si>
    <t>HONDA-01117</t>
  </si>
  <si>
    <t>HONDA-01118</t>
  </si>
  <si>
    <t>HONDA-01119</t>
  </si>
  <si>
    <t>HONDA-01120</t>
  </si>
  <si>
    <t>HONDA-01121</t>
  </si>
  <si>
    <t>HONDA-01122</t>
  </si>
  <si>
    <t>HONDA-01123</t>
  </si>
  <si>
    <t>HONDA-01124</t>
  </si>
  <si>
    <t>HONDA-01125</t>
  </si>
  <si>
    <t>HONDA-01126</t>
  </si>
  <si>
    <t>HONDA-01127</t>
  </si>
  <si>
    <t>HONDA-01128</t>
  </si>
  <si>
    <t>HONDA-01129</t>
  </si>
  <si>
    <t>HONDA-01130</t>
  </si>
  <si>
    <t>HONDA-01131</t>
  </si>
  <si>
    <t>HONDA-01132</t>
  </si>
  <si>
    <t>HONDA-01133</t>
  </si>
  <si>
    <t>HONDA-01134</t>
  </si>
  <si>
    <t>HONDA-01135</t>
  </si>
  <si>
    <t>HONDA-01136</t>
  </si>
  <si>
    <t>HONDA-01137</t>
  </si>
  <si>
    <t>HONDA-01138</t>
  </si>
  <si>
    <t>HONDA-01139</t>
  </si>
  <si>
    <t>HONDA-01140</t>
  </si>
  <si>
    <t>HONDA-01141</t>
  </si>
  <si>
    <t>HONDA-01142</t>
  </si>
  <si>
    <t>HONDA-01143</t>
  </si>
  <si>
    <t>HONDA-01144</t>
  </si>
  <si>
    <t>HONDA-01145</t>
  </si>
  <si>
    <t>HONDA-01146</t>
  </si>
  <si>
    <t>HONDA-01147</t>
  </si>
  <si>
    <t>HONDA-01148</t>
  </si>
  <si>
    <t>HONDA-01149</t>
  </si>
  <si>
    <t>HONDA-01150</t>
  </si>
  <si>
    <t>HONDA-01151</t>
  </si>
  <si>
    <t>HONDA-01152</t>
  </si>
  <si>
    <t>HONDA-01153</t>
  </si>
  <si>
    <t>HONDA-01154</t>
  </si>
  <si>
    <t>HONDA-01155</t>
  </si>
  <si>
    <t>HONDA-01156</t>
  </si>
  <si>
    <t>HONDA-01157</t>
  </si>
  <si>
    <t>HONDA-01158</t>
  </si>
  <si>
    <t>HONDA-01159</t>
  </si>
  <si>
    <t>HONDA-01160</t>
  </si>
  <si>
    <t>HONDA-01161</t>
  </si>
  <si>
    <t>HONDA-01162</t>
  </si>
  <si>
    <t>HONDA-01163</t>
  </si>
  <si>
    <t>HONDA-01164</t>
  </si>
  <si>
    <t>HONDA-01165</t>
  </si>
  <si>
    <t>HONDA-01166</t>
  </si>
  <si>
    <t>HONDA-01167</t>
  </si>
  <si>
    <t>HONDA-01168</t>
  </si>
  <si>
    <t>HONDA-01169</t>
  </si>
  <si>
    <t>HONDA-01170</t>
  </si>
  <si>
    <t>HONDA-01171</t>
  </si>
  <si>
    <t>HONDA-01172</t>
  </si>
  <si>
    <t>HONDA-01173</t>
  </si>
  <si>
    <t>HONDA-01174</t>
  </si>
  <si>
    <t>HONDA-01175</t>
  </si>
  <si>
    <t>HONDA-01176</t>
  </si>
  <si>
    <t>HONDA-01177</t>
  </si>
  <si>
    <t>HONDA-01178</t>
  </si>
  <si>
    <t>HONDA-01179</t>
  </si>
  <si>
    <t>HONDA-01180</t>
  </si>
  <si>
    <t>HONDA-01181</t>
  </si>
  <si>
    <t>HONDA-01182</t>
  </si>
  <si>
    <t>HONDA-01183</t>
  </si>
  <si>
    <t>HONDA-01184</t>
  </si>
  <si>
    <t>HONDA-01185</t>
  </si>
  <si>
    <t>HONDA-01186</t>
  </si>
  <si>
    <t>HONDA-01187</t>
  </si>
  <si>
    <t>HONDA-01188</t>
  </si>
  <si>
    <t>HONDA-01189</t>
  </si>
  <si>
    <t>HONDA-01190</t>
  </si>
  <si>
    <t>HONDA-01191</t>
  </si>
  <si>
    <t>HONDA-01192</t>
  </si>
  <si>
    <t>HONDA-01193</t>
  </si>
  <si>
    <t>HONDA-01194</t>
  </si>
  <si>
    <t>HONDA-01195</t>
  </si>
  <si>
    <t>HONDA-01196</t>
  </si>
  <si>
    <t>HONDA-01197</t>
  </si>
  <si>
    <t>HONDA-01198</t>
  </si>
  <si>
    <t>HONDA-01199</t>
  </si>
  <si>
    <t>HONDA-01200</t>
  </si>
  <si>
    <t>HONDA-01201</t>
  </si>
  <si>
    <t>HONDA-01202</t>
  </si>
  <si>
    <t>HONDA-01203</t>
  </si>
  <si>
    <t>HONDA-01204</t>
  </si>
  <si>
    <t>HONDA-01205</t>
  </si>
  <si>
    <t>HONDA-01206</t>
  </si>
  <si>
    <t>HONDA-01207</t>
  </si>
  <si>
    <t>HONDA-01208</t>
  </si>
  <si>
    <t>HONDA-01209</t>
  </si>
  <si>
    <t>HONDA-01210</t>
  </si>
  <si>
    <t>HONDA-01211</t>
  </si>
  <si>
    <t>HONDA-01212</t>
  </si>
  <si>
    <t>HONDA-01213</t>
  </si>
  <si>
    <t>HONDA-01214</t>
  </si>
  <si>
    <t>HONDA-01215</t>
  </si>
  <si>
    <t>HONDA-01216</t>
  </si>
  <si>
    <t>HONDA-01217</t>
  </si>
  <si>
    <t>HONDA-01218</t>
  </si>
  <si>
    <t>HONDA-01219</t>
  </si>
  <si>
    <t>HONDA-01220</t>
  </si>
  <si>
    <t>HONDA-01221</t>
  </si>
  <si>
    <t>HONDA-01222</t>
  </si>
  <si>
    <t>HONDA-01223</t>
  </si>
  <si>
    <t>HONDA-01224</t>
  </si>
  <si>
    <t>HONDA-01225</t>
  </si>
  <si>
    <t>HONDA-01226</t>
  </si>
  <si>
    <t>HONDA-01227</t>
  </si>
  <si>
    <t>HONDA-01228</t>
  </si>
  <si>
    <t>HONDA-01229</t>
  </si>
  <si>
    <t>HONDA-01230</t>
  </si>
  <si>
    <t>HONDA-01231</t>
  </si>
  <si>
    <t>HONDA-01232</t>
  </si>
  <si>
    <t>HONDA-01233</t>
  </si>
  <si>
    <t>HONDA-01234</t>
  </si>
  <si>
    <t>HONDA-01235</t>
  </si>
  <si>
    <t>HONDA-01236</t>
  </si>
  <si>
    <t>HONDA-01237</t>
  </si>
  <si>
    <t>HONDA-01238</t>
  </si>
  <si>
    <t>HONDA-01239</t>
  </si>
  <si>
    <t>HONDA-01240</t>
  </si>
  <si>
    <t>HONDA-01241</t>
  </si>
  <si>
    <t>HONDA-01242</t>
  </si>
  <si>
    <t>HONDA-01243</t>
  </si>
  <si>
    <t>HONDA-01244</t>
  </si>
  <si>
    <t>HONDA-01245</t>
  </si>
  <si>
    <t>HONDA-01246</t>
  </si>
  <si>
    <t>HONDA-01247</t>
  </si>
  <si>
    <t>HONDA-01248</t>
  </si>
  <si>
    <t>HONDA-01249</t>
  </si>
  <si>
    <t>HONDA-01250</t>
  </si>
  <si>
    <t>HONDA-01251</t>
  </si>
  <si>
    <t>HONDA-01252</t>
  </si>
  <si>
    <t>HONDA-01253</t>
  </si>
  <si>
    <t>HONDA-01254</t>
  </si>
  <si>
    <t>HONDA-01255</t>
  </si>
  <si>
    <t>HONDA-01256</t>
  </si>
  <si>
    <t>HONDA-01257</t>
  </si>
  <si>
    <t>HONDA-01258</t>
  </si>
  <si>
    <t>HONDA-01259</t>
  </si>
  <si>
    <t>HONDA-01260</t>
  </si>
  <si>
    <t>HONDA-01261</t>
  </si>
  <si>
    <t>HONDA-01262</t>
  </si>
  <si>
    <t>HONDA-01263</t>
  </si>
  <si>
    <t>HONDA-01264</t>
  </si>
  <si>
    <t>HONDA-01265</t>
  </si>
  <si>
    <t>HONDA-01266</t>
  </si>
  <si>
    <t>HONDA-01267</t>
  </si>
  <si>
    <t>HONDA-01268</t>
  </si>
  <si>
    <t>HONDA-01269</t>
  </si>
  <si>
    <t>HONDA-01270</t>
  </si>
  <si>
    <t>HONDA-01271</t>
  </si>
  <si>
    <t>HONDA-01272</t>
  </si>
  <si>
    <t>HONDA-01273</t>
  </si>
  <si>
    <t>HONDA-01274</t>
  </si>
  <si>
    <t>HONDA-01275</t>
  </si>
  <si>
    <t>HONDA-01276</t>
  </si>
  <si>
    <t>HONDA-01277</t>
  </si>
  <si>
    <t>HONDA-01278</t>
  </si>
  <si>
    <t>HONDA-01279</t>
  </si>
  <si>
    <t>HONDA-01280</t>
  </si>
  <si>
    <t>HONDA-01281</t>
  </si>
  <si>
    <t>HONDA-01282</t>
  </si>
  <si>
    <t>HONDA-01283</t>
  </si>
  <si>
    <t>HONDA-01284</t>
  </si>
  <si>
    <t>HONDA-01285</t>
  </si>
  <si>
    <t>HONDA-01286</t>
  </si>
  <si>
    <t>HONDA-01287</t>
  </si>
  <si>
    <t>HONDA-01288</t>
  </si>
  <si>
    <t>HONDA-01289</t>
  </si>
  <si>
    <t>HONDA-01290</t>
  </si>
  <si>
    <t>HONDA-01291</t>
  </si>
  <si>
    <t>HONDA-01292</t>
  </si>
  <si>
    <t>HONDA-01293</t>
  </si>
  <si>
    <t>HONDA-01294</t>
  </si>
  <si>
    <t>HONDA-01295</t>
  </si>
  <si>
    <t>HONDA-01296</t>
  </si>
  <si>
    <t>HONDA-01297</t>
  </si>
  <si>
    <t>HONDA-01298</t>
  </si>
  <si>
    <t>HONDA-01299</t>
  </si>
  <si>
    <t>HONDA-01300</t>
  </si>
  <si>
    <t>HONDA-01301</t>
  </si>
  <si>
    <t>HONDA-01302</t>
  </si>
  <si>
    <t>HONDA-01303</t>
  </si>
  <si>
    <t>HONDA-01304</t>
  </si>
  <si>
    <t>HONDA-01305</t>
  </si>
  <si>
    <t>HONDA-01306</t>
  </si>
  <si>
    <t>HONDA-01307</t>
  </si>
  <si>
    <t>HONDA-01308</t>
  </si>
  <si>
    <t>HONDA-01309</t>
  </si>
  <si>
    <t>HONDA-01310</t>
  </si>
  <si>
    <t>HONDA-01311</t>
  </si>
  <si>
    <t>HONDA-01312</t>
  </si>
  <si>
    <t>HONDA-01313</t>
  </si>
  <si>
    <t>HONDA-01314</t>
  </si>
  <si>
    <t>HONDA-01315</t>
  </si>
  <si>
    <t>HONDA-01316</t>
  </si>
  <si>
    <t>HONDA-01317</t>
  </si>
  <si>
    <t>HONDA-01318</t>
  </si>
  <si>
    <t>HONDA-01319</t>
  </si>
  <si>
    <t>HONDA-01320</t>
  </si>
  <si>
    <t>HONDA-01321</t>
  </si>
  <si>
    <t>HONDA-01322</t>
  </si>
  <si>
    <t>HONDA-01323</t>
  </si>
  <si>
    <t>HONDA-01324</t>
  </si>
  <si>
    <t>HONDA-01325</t>
  </si>
  <si>
    <t>HONDA-01326</t>
  </si>
  <si>
    <t>HONDA-01327</t>
  </si>
  <si>
    <t>HONDA-01328</t>
  </si>
  <si>
    <t>HONDA-01329</t>
  </si>
  <si>
    <t>HONDA-01330</t>
  </si>
  <si>
    <t>HONDA-01331</t>
  </si>
  <si>
    <t>HONDA-01332</t>
  </si>
  <si>
    <t>HONDA-01333</t>
  </si>
  <si>
    <t>HONDA-01334</t>
  </si>
  <si>
    <t>HONDA-01335</t>
  </si>
  <si>
    <t>HONDA-01336</t>
  </si>
  <si>
    <t>HONDA-01337</t>
  </si>
  <si>
    <t>HONDA-01338</t>
  </si>
  <si>
    <t>HONDA-01339</t>
  </si>
  <si>
    <t>HONDA-01340</t>
  </si>
  <si>
    <t>HONDA-01341</t>
  </si>
  <si>
    <t>HONDA-01342</t>
  </si>
  <si>
    <t>HONDA-01343</t>
  </si>
  <si>
    <t>HONDA-01344</t>
  </si>
  <si>
    <t>HONDA-01345</t>
  </si>
  <si>
    <t>HONDA-01346</t>
  </si>
  <si>
    <t>HONDA-01347</t>
  </si>
  <si>
    <t>HONDA-01348</t>
  </si>
  <si>
    <t>HONDA-01349</t>
  </si>
  <si>
    <t>HONDA-01350</t>
  </si>
  <si>
    <t>HONDA-01351</t>
  </si>
  <si>
    <t>HONDA-01352</t>
  </si>
  <si>
    <t>HONDA-01353</t>
  </si>
  <si>
    <t>HONDA-01354</t>
  </si>
  <si>
    <t>HONDA-01355</t>
  </si>
  <si>
    <t>HONDA-01356</t>
  </si>
  <si>
    <t>HONDA-01357</t>
  </si>
  <si>
    <t>HONDA-01358</t>
  </si>
  <si>
    <t>HONDA-01359</t>
  </si>
  <si>
    <t>HONDA-01360</t>
  </si>
  <si>
    <t>HONDA-01361</t>
  </si>
  <si>
    <t>HONDA-01362</t>
  </si>
  <si>
    <t>HONDA-01363</t>
  </si>
  <si>
    <t>HONDA-01364</t>
  </si>
  <si>
    <t>HONDA-01365</t>
  </si>
  <si>
    <t>HONDA-01366</t>
  </si>
  <si>
    <t>HONDA-01367</t>
  </si>
  <si>
    <t>HONDA-01368</t>
  </si>
  <si>
    <t>HONDA-01369</t>
  </si>
  <si>
    <t>HONDA-01370</t>
  </si>
  <si>
    <t>HONDA-01371</t>
  </si>
  <si>
    <t>HONDA-01372</t>
  </si>
  <si>
    <t>HONDA-01373</t>
  </si>
  <si>
    <t>HONDA-01374</t>
  </si>
  <si>
    <t>HONDA-01375</t>
  </si>
  <si>
    <t>HONDA-01376</t>
  </si>
  <si>
    <t>HONDA-01377</t>
  </si>
  <si>
    <t>HONDA-01378</t>
  </si>
  <si>
    <t>HONDA-01379</t>
  </si>
  <si>
    <t>HONDA-01380</t>
  </si>
  <si>
    <t>HONDA-01381</t>
  </si>
  <si>
    <t>HONDA-01382</t>
  </si>
  <si>
    <t>HONDA-01383</t>
  </si>
  <si>
    <t>HONDA-01384</t>
  </si>
  <si>
    <t>HONDA-01385</t>
  </si>
  <si>
    <t>HONDA-01386</t>
  </si>
  <si>
    <t>HONDA-01387</t>
  </si>
  <si>
    <t>HONDA-01388</t>
  </si>
  <si>
    <t>HONDA-01389</t>
  </si>
  <si>
    <t>HONDA-01390</t>
  </si>
  <si>
    <t>HONDA-01391</t>
  </si>
  <si>
    <t>HONDA-01392</t>
  </si>
  <si>
    <t>HONDA-01393</t>
  </si>
  <si>
    <t>HONDA-01394</t>
  </si>
  <si>
    <t>HONDA-01395</t>
  </si>
  <si>
    <t>HONDA-01396</t>
  </si>
  <si>
    <t>HONDA-01397</t>
  </si>
  <si>
    <t>HONDA-01398</t>
  </si>
  <si>
    <t>HONDA-01399</t>
  </si>
  <si>
    <t>HONDA-01400</t>
  </si>
  <si>
    <t>HONDA-01401</t>
  </si>
  <si>
    <t>HONDA-01402</t>
  </si>
  <si>
    <t>HONDA-01403</t>
  </si>
  <si>
    <t>HONDA-01404</t>
  </si>
  <si>
    <t>HONDA-01405</t>
  </si>
  <si>
    <t>HONDA-01406</t>
  </si>
  <si>
    <t>HONDA-01407</t>
  </si>
  <si>
    <t>HONDA-01408</t>
  </si>
  <si>
    <t>HONDA-01409</t>
  </si>
  <si>
    <t>HONDA-01410</t>
  </si>
  <si>
    <t>HONDA-01411</t>
  </si>
  <si>
    <t>HONDA-01412</t>
  </si>
  <si>
    <t>HONDA-01413</t>
  </si>
  <si>
    <t>HONDA-01414</t>
  </si>
  <si>
    <t>HONDA-01415</t>
  </si>
  <si>
    <t>HONDA-01416</t>
  </si>
  <si>
    <t>HONDA-01417</t>
  </si>
  <si>
    <t>HONDA-01418</t>
  </si>
  <si>
    <t>HONDA-01419</t>
  </si>
  <si>
    <t>HONDA-01420</t>
  </si>
  <si>
    <t>HONDA-01421</t>
  </si>
  <si>
    <t>HONDA-01422</t>
  </si>
  <si>
    <t>HONDA-01423</t>
  </si>
  <si>
    <t>HONDA-01424</t>
  </si>
  <si>
    <t>HONDA-01425</t>
  </si>
  <si>
    <t>HONDA-01426</t>
  </si>
  <si>
    <t>HONDA-01427</t>
  </si>
  <si>
    <t>HONDA-01428</t>
  </si>
  <si>
    <t>HONDA-01429</t>
  </si>
  <si>
    <t>HONDA-01430</t>
  </si>
  <si>
    <t>HONDA-01431</t>
  </si>
  <si>
    <t>HONDA-01432</t>
  </si>
  <si>
    <t>HONDA-01433</t>
  </si>
  <si>
    <t>HONDA-01434</t>
  </si>
  <si>
    <t>HONDA-01435</t>
  </si>
  <si>
    <t>HONDA-01436</t>
  </si>
  <si>
    <t>HONDA-01437</t>
  </si>
  <si>
    <t>HONDA-01438</t>
  </si>
  <si>
    <t>HONDA-01439</t>
  </si>
  <si>
    <t>HONDA-01440</t>
  </si>
  <si>
    <t>HONDA-01441</t>
  </si>
  <si>
    <t>HONDA-01442</t>
  </si>
  <si>
    <t>HONDA-01443</t>
  </si>
  <si>
    <t>HONDA-01444</t>
  </si>
  <si>
    <t>HONDA-01445</t>
  </si>
  <si>
    <t>HONDA-01446</t>
  </si>
  <si>
    <t>HONDA-01447</t>
  </si>
  <si>
    <t>HONDA-01448</t>
  </si>
  <si>
    <t>HONDA-01449</t>
  </si>
  <si>
    <t>HONDA-01450</t>
  </si>
  <si>
    <t>HONDA-01451</t>
  </si>
  <si>
    <t>HONDA-01452</t>
  </si>
  <si>
    <t>HONDA-01453</t>
  </si>
  <si>
    <t>HONDA-01454</t>
  </si>
  <si>
    <t>HONDA-01455</t>
  </si>
  <si>
    <t>HONDA-01456</t>
  </si>
  <si>
    <t>HONDA-01457</t>
  </si>
  <si>
    <t>HONDA-01458</t>
  </si>
  <si>
    <t>HONDA-01459</t>
  </si>
  <si>
    <t>HONDA-01460</t>
  </si>
  <si>
    <t>HONDA-01461</t>
  </si>
  <si>
    <t>HONDA-01462</t>
  </si>
  <si>
    <t>HONDA-01463</t>
  </si>
  <si>
    <t>HONDA-01464</t>
  </si>
  <si>
    <t>HONDA-01465</t>
  </si>
  <si>
    <t>HONDA-01466</t>
  </si>
  <si>
    <t>HONDA-01467</t>
  </si>
  <si>
    <t>HONDA-01468</t>
  </si>
  <si>
    <t>HONDA-01469</t>
  </si>
  <si>
    <t>HONDA-01470</t>
  </si>
  <si>
    <t>HONDA-01471</t>
  </si>
  <si>
    <t>HONDA-01472</t>
  </si>
  <si>
    <t>HONDA-01473</t>
  </si>
  <si>
    <t>HONDA-01474</t>
  </si>
  <si>
    <t>HONDA-01475</t>
  </si>
  <si>
    <t>HONDA-01476</t>
  </si>
  <si>
    <t>HONDA-01477</t>
  </si>
  <si>
    <t>HONDA-01478</t>
  </si>
  <si>
    <t>HONDA-01479</t>
  </si>
  <si>
    <t>HONDA-01480</t>
  </si>
  <si>
    <t>HONDA-01481</t>
  </si>
  <si>
    <t>HONDA-01482</t>
  </si>
  <si>
    <t>HONDA-01483</t>
  </si>
  <si>
    <t>HONDA-01484</t>
  </si>
  <si>
    <t>HONDA-01485</t>
  </si>
  <si>
    <t>HONDA-01486</t>
  </si>
  <si>
    <t>HONDA-01487</t>
  </si>
  <si>
    <t>HONDA-01488</t>
  </si>
  <si>
    <t>HONDA-01489</t>
  </si>
  <si>
    <t>HONDA-01490</t>
  </si>
  <si>
    <t>HONDA-01491</t>
  </si>
  <si>
    <t>HONDA-01492</t>
  </si>
  <si>
    <t>HONDA-01493</t>
  </si>
  <si>
    <t>HONDA-01494</t>
  </si>
  <si>
    <t>HONDA-01495</t>
  </si>
  <si>
    <t>HONDA-01496</t>
  </si>
  <si>
    <t>HONDA-01497</t>
  </si>
  <si>
    <t>HONDA-01498</t>
  </si>
  <si>
    <t>HONDA-01499</t>
  </si>
  <si>
    <t>HONDA-01500</t>
  </si>
  <si>
    <t>Honda</t>
  </si>
  <si>
    <t>Honda Metro Autos</t>
  </si>
  <si>
    <t>Honda AutoWorld</t>
  </si>
  <si>
    <t>Honda Capital Motors</t>
  </si>
  <si>
    <t>Honda Prime Motors</t>
  </si>
  <si>
    <t>Honda City Cars</t>
  </si>
  <si>
    <t>Noida</t>
  </si>
  <si>
    <t>Chandigarh</t>
  </si>
  <si>
    <t>Lucknow</t>
  </si>
  <si>
    <t>Delhi</t>
  </si>
  <si>
    <t>Pune</t>
  </si>
  <si>
    <t>Jaipur</t>
  </si>
  <si>
    <t>Bengaluru</t>
  </si>
  <si>
    <t>Ghaziabad</t>
  </si>
  <si>
    <t>Gurugram</t>
  </si>
  <si>
    <t>Mumbai</t>
  </si>
  <si>
    <t>Rahul</t>
  </si>
  <si>
    <t>Neha</t>
  </si>
  <si>
    <t>Arjun</t>
  </si>
  <si>
    <t>Ananya</t>
  </si>
  <si>
    <t>Kavya</t>
  </si>
  <si>
    <t>Ishaan</t>
  </si>
  <si>
    <t>Diya</t>
  </si>
  <si>
    <t>Rohan</t>
  </si>
  <si>
    <t>Aarav</t>
  </si>
  <si>
    <t>Meera</t>
  </si>
  <si>
    <t>Vikram</t>
  </si>
  <si>
    <t>Priya</t>
  </si>
  <si>
    <t>Elevate</t>
  </si>
  <si>
    <t>Amaze</t>
  </si>
  <si>
    <t>City e:HEV</t>
  </si>
  <si>
    <t>Diesel</t>
  </si>
  <si>
    <t>Petrol</t>
  </si>
  <si>
    <t>Hybrid</t>
  </si>
  <si>
    <t>Automatic</t>
  </si>
  <si>
    <t>Manual</t>
  </si>
  <si>
    <t>Male</t>
  </si>
  <si>
    <t>Female</t>
  </si>
  <si>
    <t>Other</t>
  </si>
  <si>
    <t>Online Ad</t>
  </si>
  <si>
    <t>Phone</t>
  </si>
  <si>
    <t>Referral</t>
  </si>
  <si>
    <t>Social Media</t>
  </si>
  <si>
    <t>Walk-in</t>
  </si>
  <si>
    <t>Website</t>
  </si>
  <si>
    <t>Bank Finance</t>
  </si>
  <si>
    <t>Dealer Finance</t>
  </si>
  <si>
    <t>Lease</t>
  </si>
  <si>
    <t>Cash</t>
  </si>
  <si>
    <t>2025-01</t>
  </si>
  <si>
    <t>2025-05</t>
  </si>
  <si>
    <t>2025-04</t>
  </si>
  <si>
    <t>2025-10</t>
  </si>
  <si>
    <t>2025-12</t>
  </si>
  <si>
    <t>2026-08</t>
  </si>
  <si>
    <t>2025-09</t>
  </si>
  <si>
    <t>2025-02</t>
  </si>
  <si>
    <t>2025-07</t>
  </si>
  <si>
    <t>2026-04</t>
  </si>
  <si>
    <t>2026-01</t>
  </si>
  <si>
    <t>2026-06</t>
  </si>
  <si>
    <t>2025-11</t>
  </si>
  <si>
    <t>2025-06</t>
  </si>
  <si>
    <t>2025-08</t>
  </si>
  <si>
    <t>2026-03</t>
  </si>
  <si>
    <t>2026-07</t>
  </si>
  <si>
    <t>2025-03</t>
  </si>
  <si>
    <t>2026-02</t>
  </si>
  <si>
    <t>2026-05</t>
  </si>
  <si>
    <t>Q1</t>
  </si>
  <si>
    <t>Q2</t>
  </si>
  <si>
    <t>Q4</t>
  </si>
  <si>
    <t>Q3</t>
  </si>
  <si>
    <t>Age</t>
  </si>
  <si>
    <t>sale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</si>
</sst>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01"/>
  <sheetViews>
    <sheetView tabSelected="1" topLeftCell="N1" zoomScale="85" zoomScaleNormal="85" workbookViewId="0">
      <selection activeCell="H5" sqref="H5"/>
    </sheetView>
  </sheetViews>
  <sheetFormatPr defaultRowHeight="15" x14ac:dyDescent="0.25"/>
  <cols>
    <col min="1" max="1" width="13.5703125" bestFit="1" customWidth="1"/>
    <col min="2" max="2" width="18.42578125" style="4" bestFit="1" customWidth="1"/>
    <col min="3" max="3" width="18.42578125" style="4" customWidth="1"/>
    <col min="4" max="4" width="7.140625" bestFit="1" customWidth="1"/>
    <col min="5" max="5" width="21.42578125" bestFit="1" customWidth="1"/>
    <col min="6" max="6" width="11.5703125" bestFit="1" customWidth="1"/>
    <col min="7" max="7" width="13.42578125" bestFit="1" customWidth="1"/>
    <col min="8" max="8" width="10.140625" bestFit="1" customWidth="1"/>
    <col min="9" max="9" width="13.85546875" bestFit="1" customWidth="1"/>
    <col min="10" max="10" width="11.28515625" bestFit="1" customWidth="1"/>
    <col min="11" max="11" width="14.42578125" bestFit="1" customWidth="1"/>
    <col min="12" max="12" width="16" bestFit="1" customWidth="1"/>
    <col min="13" max="13" width="18.85546875" bestFit="1" customWidth="1"/>
    <col min="14" max="14" width="18.42578125" bestFit="1" customWidth="1"/>
    <col min="15" max="15" width="21.140625" bestFit="1" customWidth="1"/>
    <col min="16" max="16" width="21.140625" customWidth="1"/>
    <col min="17" max="17" width="19.5703125" bestFit="1" customWidth="1"/>
    <col min="18" max="18" width="19.42578125" bestFit="1" customWidth="1"/>
    <col min="19" max="19" width="16.140625" bestFit="1" customWidth="1"/>
    <col min="20" max="20" width="23.140625" bestFit="1" customWidth="1"/>
    <col min="21" max="21" width="24" bestFit="1" customWidth="1"/>
    <col min="22" max="22" width="13.42578125" bestFit="1" customWidth="1"/>
    <col min="23" max="23" width="14.42578125" bestFit="1" customWidth="1"/>
    <col min="24" max="24" width="18" bestFit="1" customWidth="1"/>
  </cols>
  <sheetData>
    <row r="1" spans="1:24" s="2" customFormat="1" ht="15.75" x14ac:dyDescent="0.25">
      <c r="A1" s="1" t="s">
        <v>0</v>
      </c>
      <c r="B1" s="3" t="s">
        <v>1</v>
      </c>
      <c r="C1" s="3" t="s">
        <v>1596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1595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t="s">
        <v>22</v>
      </c>
      <c r="B2" s="4">
        <v>45671</v>
      </c>
      <c r="C2" s="4" t="str">
        <f>TEXT(B2,"MMM")</f>
        <v>Jan</v>
      </c>
      <c r="D2" t="s">
        <v>1522</v>
      </c>
      <c r="E2" t="s">
        <v>1523</v>
      </c>
      <c r="F2" t="s">
        <v>1528</v>
      </c>
      <c r="G2" t="s">
        <v>1538</v>
      </c>
      <c r="H2" t="s">
        <v>4</v>
      </c>
      <c r="I2">
        <v>2023</v>
      </c>
      <c r="J2" t="s">
        <v>1553</v>
      </c>
      <c r="K2" t="s">
        <v>1556</v>
      </c>
      <c r="L2">
        <v>1566770</v>
      </c>
      <c r="M2">
        <v>1405367</v>
      </c>
      <c r="N2">
        <v>161403</v>
      </c>
      <c r="O2">
        <v>43</v>
      </c>
      <c r="P2" t="str">
        <f>IF(O2&gt;50,"senior",IF(O2&gt;30,"adult","young"))</f>
        <v>adult</v>
      </c>
      <c r="Q2" t="s">
        <v>1558</v>
      </c>
      <c r="R2" t="s">
        <v>1561</v>
      </c>
      <c r="S2" t="s">
        <v>1567</v>
      </c>
      <c r="T2">
        <v>630060</v>
      </c>
      <c r="U2">
        <v>1</v>
      </c>
      <c r="V2" t="s">
        <v>1571</v>
      </c>
      <c r="W2" t="s">
        <v>1591</v>
      </c>
      <c r="X2">
        <v>10.3</v>
      </c>
    </row>
    <row r="3" spans="1:24" x14ac:dyDescent="0.25">
      <c r="A3" t="s">
        <v>23</v>
      </c>
      <c r="B3" s="4">
        <v>45806</v>
      </c>
      <c r="C3" s="4" t="str">
        <f t="shared" ref="C3:C66" si="0">TEXT(B3,"MMM")</f>
        <v>May</v>
      </c>
      <c r="D3" t="s">
        <v>1522</v>
      </c>
      <c r="E3" t="s">
        <v>1523</v>
      </c>
      <c r="F3" t="s">
        <v>1529</v>
      </c>
      <c r="G3" t="s">
        <v>1539</v>
      </c>
      <c r="H3" t="s">
        <v>1550</v>
      </c>
      <c r="I3">
        <v>2025</v>
      </c>
      <c r="J3" t="s">
        <v>1554</v>
      </c>
      <c r="K3" t="s">
        <v>1557</v>
      </c>
      <c r="L3">
        <v>1586974</v>
      </c>
      <c r="M3">
        <v>1434793</v>
      </c>
      <c r="N3">
        <v>152181</v>
      </c>
      <c r="O3">
        <v>24</v>
      </c>
      <c r="P3" t="str">
        <f t="shared" ref="P3:P66" si="1">IF(O3&gt;50,"senior",IF(O3&gt;30,"adult","young"))</f>
        <v>young</v>
      </c>
      <c r="Q3" t="s">
        <v>1559</v>
      </c>
      <c r="R3" t="s">
        <v>1562</v>
      </c>
      <c r="S3" t="s">
        <v>1567</v>
      </c>
      <c r="T3">
        <v>1896008</v>
      </c>
      <c r="U3">
        <v>5</v>
      </c>
      <c r="V3" t="s">
        <v>1572</v>
      </c>
      <c r="W3" t="s">
        <v>1592</v>
      </c>
      <c r="X3">
        <v>9.59</v>
      </c>
    </row>
    <row r="4" spans="1:24" x14ac:dyDescent="0.25">
      <c r="A4" t="s">
        <v>24</v>
      </c>
      <c r="B4" s="4">
        <v>45750</v>
      </c>
      <c r="C4" s="4" t="str">
        <f t="shared" si="0"/>
        <v>Apr</v>
      </c>
      <c r="D4" t="s">
        <v>1522</v>
      </c>
      <c r="E4" t="s">
        <v>1524</v>
      </c>
      <c r="F4" t="s">
        <v>1530</v>
      </c>
      <c r="G4" t="s">
        <v>1540</v>
      </c>
      <c r="H4" t="s">
        <v>1551</v>
      </c>
      <c r="I4">
        <v>2024</v>
      </c>
      <c r="J4" t="s">
        <v>1554</v>
      </c>
      <c r="K4" t="s">
        <v>1557</v>
      </c>
      <c r="L4">
        <v>804533</v>
      </c>
      <c r="M4">
        <v>738795</v>
      </c>
      <c r="N4">
        <v>65738</v>
      </c>
      <c r="O4">
        <v>42</v>
      </c>
      <c r="P4" t="str">
        <f t="shared" si="1"/>
        <v>adult</v>
      </c>
      <c r="Q4" t="s">
        <v>1559</v>
      </c>
      <c r="R4" t="s">
        <v>1562</v>
      </c>
      <c r="S4" t="s">
        <v>1567</v>
      </c>
      <c r="T4">
        <v>1975121</v>
      </c>
      <c r="U4">
        <v>2</v>
      </c>
      <c r="V4" t="s">
        <v>1573</v>
      </c>
      <c r="W4" t="s">
        <v>1592</v>
      </c>
      <c r="X4">
        <v>8.17</v>
      </c>
    </row>
    <row r="5" spans="1:24" x14ac:dyDescent="0.25">
      <c r="A5" t="s">
        <v>25</v>
      </c>
      <c r="B5" s="4">
        <v>45771</v>
      </c>
      <c r="C5" s="4" t="str">
        <f t="shared" si="0"/>
        <v>Apr</v>
      </c>
      <c r="D5" t="s">
        <v>1522</v>
      </c>
      <c r="E5" t="s">
        <v>1525</v>
      </c>
      <c r="F5" t="s">
        <v>1528</v>
      </c>
      <c r="G5" t="s">
        <v>1540</v>
      </c>
      <c r="H5" t="s">
        <v>4</v>
      </c>
      <c r="I5">
        <v>2025</v>
      </c>
      <c r="J5" t="s">
        <v>1554</v>
      </c>
      <c r="K5" t="s">
        <v>1556</v>
      </c>
      <c r="L5">
        <v>1573900</v>
      </c>
      <c r="M5">
        <v>1385101</v>
      </c>
      <c r="N5">
        <v>188799</v>
      </c>
      <c r="O5">
        <v>24</v>
      </c>
      <c r="P5" t="str">
        <f t="shared" si="1"/>
        <v>young</v>
      </c>
      <c r="Q5" t="s">
        <v>1558</v>
      </c>
      <c r="R5" t="s">
        <v>1563</v>
      </c>
      <c r="S5" t="s">
        <v>1568</v>
      </c>
      <c r="T5">
        <v>1010713</v>
      </c>
      <c r="U5">
        <v>4</v>
      </c>
      <c r="V5" t="s">
        <v>1573</v>
      </c>
      <c r="W5" t="s">
        <v>1592</v>
      </c>
      <c r="X5">
        <v>12</v>
      </c>
    </row>
    <row r="6" spans="1:24" x14ac:dyDescent="0.25">
      <c r="A6" t="s">
        <v>26</v>
      </c>
      <c r="B6" s="4">
        <v>45797</v>
      </c>
      <c r="C6" s="4" t="str">
        <f t="shared" si="0"/>
        <v>May</v>
      </c>
      <c r="D6" t="s">
        <v>1522</v>
      </c>
      <c r="E6" t="s">
        <v>1526</v>
      </c>
      <c r="F6" t="s">
        <v>1528</v>
      </c>
      <c r="G6" t="s">
        <v>1541</v>
      </c>
      <c r="H6" t="s">
        <v>4</v>
      </c>
      <c r="I6">
        <v>2025</v>
      </c>
      <c r="J6" t="s">
        <v>1554</v>
      </c>
      <c r="K6" t="s">
        <v>1556</v>
      </c>
      <c r="L6">
        <v>1513361</v>
      </c>
      <c r="M6">
        <v>1375598</v>
      </c>
      <c r="N6">
        <v>137763</v>
      </c>
      <c r="O6">
        <v>48</v>
      </c>
      <c r="P6" t="str">
        <f t="shared" si="1"/>
        <v>adult</v>
      </c>
      <c r="Q6" t="s">
        <v>1558</v>
      </c>
      <c r="R6" t="s">
        <v>1564</v>
      </c>
      <c r="S6" t="s">
        <v>1569</v>
      </c>
      <c r="T6">
        <v>340915</v>
      </c>
      <c r="U6">
        <v>1</v>
      </c>
      <c r="V6" t="s">
        <v>1572</v>
      </c>
      <c r="W6" t="s">
        <v>1592</v>
      </c>
      <c r="X6">
        <v>9.1</v>
      </c>
    </row>
    <row r="7" spans="1:24" x14ac:dyDescent="0.25">
      <c r="A7" t="s">
        <v>27</v>
      </c>
      <c r="B7" s="4">
        <v>45937</v>
      </c>
      <c r="C7" s="4" t="str">
        <f t="shared" si="0"/>
        <v>Oct</v>
      </c>
      <c r="D7" t="s">
        <v>1522</v>
      </c>
      <c r="E7" t="s">
        <v>1523</v>
      </c>
      <c r="F7" t="s">
        <v>1531</v>
      </c>
      <c r="G7" t="s">
        <v>1538</v>
      </c>
      <c r="H7" t="s">
        <v>1550</v>
      </c>
      <c r="I7">
        <v>2022</v>
      </c>
      <c r="J7" t="s">
        <v>1553</v>
      </c>
      <c r="K7" t="s">
        <v>1557</v>
      </c>
      <c r="L7">
        <v>1204111</v>
      </c>
      <c r="M7">
        <v>1044801</v>
      </c>
      <c r="N7">
        <v>159310</v>
      </c>
      <c r="O7">
        <v>45</v>
      </c>
      <c r="P7" t="str">
        <f t="shared" si="1"/>
        <v>adult</v>
      </c>
      <c r="Q7" t="s">
        <v>1558</v>
      </c>
      <c r="R7" t="s">
        <v>1563</v>
      </c>
      <c r="S7" t="s">
        <v>1567</v>
      </c>
      <c r="T7">
        <v>1657138</v>
      </c>
      <c r="U7">
        <v>5</v>
      </c>
      <c r="V7" t="s">
        <v>1574</v>
      </c>
      <c r="W7" t="s">
        <v>1593</v>
      </c>
      <c r="X7">
        <v>13.23</v>
      </c>
    </row>
    <row r="8" spans="1:24" x14ac:dyDescent="0.25">
      <c r="A8" t="s">
        <v>28</v>
      </c>
      <c r="B8" s="4">
        <v>45682</v>
      </c>
      <c r="C8" s="4" t="str">
        <f t="shared" si="0"/>
        <v>Jan</v>
      </c>
      <c r="D8" t="s">
        <v>1522</v>
      </c>
      <c r="E8" t="s">
        <v>1527</v>
      </c>
      <c r="F8" t="s">
        <v>1532</v>
      </c>
      <c r="G8" t="s">
        <v>1540</v>
      </c>
      <c r="H8" t="s">
        <v>1552</v>
      </c>
      <c r="I8">
        <v>2025</v>
      </c>
      <c r="J8" t="s">
        <v>1555</v>
      </c>
      <c r="K8" t="s">
        <v>1556</v>
      </c>
      <c r="L8">
        <v>2044794</v>
      </c>
      <c r="M8">
        <v>1794822</v>
      </c>
      <c r="N8">
        <v>249972</v>
      </c>
      <c r="O8">
        <v>36</v>
      </c>
      <c r="P8" t="str">
        <f t="shared" si="1"/>
        <v>adult</v>
      </c>
      <c r="Q8" t="s">
        <v>1559</v>
      </c>
      <c r="R8" t="s">
        <v>1563</v>
      </c>
      <c r="S8" t="s">
        <v>1567</v>
      </c>
      <c r="T8">
        <v>1148802</v>
      </c>
      <c r="U8">
        <v>4</v>
      </c>
      <c r="V8" t="s">
        <v>1571</v>
      </c>
      <c r="W8" t="s">
        <v>1591</v>
      </c>
      <c r="X8">
        <v>12.22</v>
      </c>
    </row>
    <row r="9" spans="1:24" x14ac:dyDescent="0.25">
      <c r="A9" t="s">
        <v>29</v>
      </c>
      <c r="B9" s="4">
        <v>45789</v>
      </c>
      <c r="C9" s="4" t="str">
        <f t="shared" si="0"/>
        <v>May</v>
      </c>
      <c r="D9" t="s">
        <v>1522</v>
      </c>
      <c r="E9" t="s">
        <v>1527</v>
      </c>
      <c r="F9" t="s">
        <v>1533</v>
      </c>
      <c r="G9" t="s">
        <v>1542</v>
      </c>
      <c r="H9" t="s">
        <v>4</v>
      </c>
      <c r="I9">
        <v>2023</v>
      </c>
      <c r="J9" t="s">
        <v>1554</v>
      </c>
      <c r="K9" t="s">
        <v>1556</v>
      </c>
      <c r="L9">
        <v>1468214</v>
      </c>
      <c r="M9">
        <v>1398858</v>
      </c>
      <c r="N9">
        <v>69356</v>
      </c>
      <c r="O9">
        <v>44</v>
      </c>
      <c r="P9" t="str">
        <f t="shared" si="1"/>
        <v>adult</v>
      </c>
      <c r="Q9" t="s">
        <v>1558</v>
      </c>
      <c r="R9" t="s">
        <v>1561</v>
      </c>
      <c r="S9" t="s">
        <v>1567</v>
      </c>
      <c r="T9">
        <v>1410035</v>
      </c>
      <c r="U9">
        <v>4</v>
      </c>
      <c r="V9" t="s">
        <v>1572</v>
      </c>
      <c r="W9" t="s">
        <v>1592</v>
      </c>
      <c r="X9">
        <v>4.72</v>
      </c>
    </row>
    <row r="10" spans="1:24" x14ac:dyDescent="0.25">
      <c r="A10" t="s">
        <v>30</v>
      </c>
      <c r="B10" s="4">
        <v>46000</v>
      </c>
      <c r="C10" s="4" t="str">
        <f t="shared" si="0"/>
        <v>Dec</v>
      </c>
      <c r="D10" t="s">
        <v>1522</v>
      </c>
      <c r="E10" t="s">
        <v>1526</v>
      </c>
      <c r="F10" t="s">
        <v>1534</v>
      </c>
      <c r="G10" t="s">
        <v>1543</v>
      </c>
      <c r="H10" t="s">
        <v>1550</v>
      </c>
      <c r="I10">
        <v>2025</v>
      </c>
      <c r="J10" t="s">
        <v>1554</v>
      </c>
      <c r="K10" t="s">
        <v>1556</v>
      </c>
      <c r="L10">
        <v>1137678</v>
      </c>
      <c r="M10">
        <v>1005613</v>
      </c>
      <c r="N10">
        <v>132065</v>
      </c>
      <c r="O10">
        <v>30</v>
      </c>
      <c r="P10" t="str">
        <f t="shared" si="1"/>
        <v>young</v>
      </c>
      <c r="Q10" t="s">
        <v>1559</v>
      </c>
      <c r="R10" t="s">
        <v>1563</v>
      </c>
      <c r="S10" t="s">
        <v>1567</v>
      </c>
      <c r="T10">
        <v>1249643</v>
      </c>
      <c r="U10">
        <v>2</v>
      </c>
      <c r="V10" t="s">
        <v>1575</v>
      </c>
      <c r="W10" t="s">
        <v>1593</v>
      </c>
      <c r="X10">
        <v>11.61</v>
      </c>
    </row>
    <row r="11" spans="1:24" x14ac:dyDescent="0.25">
      <c r="A11" t="s">
        <v>31</v>
      </c>
      <c r="B11" s="4">
        <v>46248</v>
      </c>
      <c r="C11" s="4" t="str">
        <f t="shared" si="0"/>
        <v>Aug</v>
      </c>
      <c r="D11" t="s">
        <v>1522</v>
      </c>
      <c r="E11" t="s">
        <v>1526</v>
      </c>
      <c r="F11" t="s">
        <v>1535</v>
      </c>
      <c r="G11" t="s">
        <v>1541</v>
      </c>
      <c r="H11" t="s">
        <v>4</v>
      </c>
      <c r="I11">
        <v>2022</v>
      </c>
      <c r="J11" t="s">
        <v>1554</v>
      </c>
      <c r="K11" t="s">
        <v>1556</v>
      </c>
      <c r="L11">
        <v>1426069</v>
      </c>
      <c r="M11">
        <v>1168281</v>
      </c>
      <c r="N11">
        <v>257788</v>
      </c>
      <c r="O11">
        <v>36</v>
      </c>
      <c r="P11" t="str">
        <f t="shared" si="1"/>
        <v>adult</v>
      </c>
      <c r="Q11" t="s">
        <v>1559</v>
      </c>
      <c r="R11" t="s">
        <v>1565</v>
      </c>
      <c r="S11" t="s">
        <v>1570</v>
      </c>
      <c r="T11">
        <v>752253</v>
      </c>
      <c r="U11">
        <v>2</v>
      </c>
      <c r="V11" t="s">
        <v>1576</v>
      </c>
      <c r="W11" t="s">
        <v>1594</v>
      </c>
      <c r="X11">
        <v>18.079999999999998</v>
      </c>
    </row>
    <row r="12" spans="1:24" x14ac:dyDescent="0.25">
      <c r="A12" t="s">
        <v>32</v>
      </c>
      <c r="B12" s="4">
        <v>45754</v>
      </c>
      <c r="C12" s="4" t="str">
        <f t="shared" si="0"/>
        <v>Apr</v>
      </c>
      <c r="D12" t="s">
        <v>1522</v>
      </c>
      <c r="E12" t="s">
        <v>1526</v>
      </c>
      <c r="F12" t="s">
        <v>1528</v>
      </c>
      <c r="G12" t="s">
        <v>1539</v>
      </c>
      <c r="H12" t="s">
        <v>1552</v>
      </c>
      <c r="I12">
        <v>2023</v>
      </c>
      <c r="J12" t="s">
        <v>1555</v>
      </c>
      <c r="K12" t="s">
        <v>1556</v>
      </c>
      <c r="L12">
        <v>2040430</v>
      </c>
      <c r="M12">
        <v>1820190</v>
      </c>
      <c r="N12">
        <v>220240</v>
      </c>
      <c r="O12">
        <v>63</v>
      </c>
      <c r="P12" t="str">
        <f t="shared" si="1"/>
        <v>senior</v>
      </c>
      <c r="Q12" t="s">
        <v>1558</v>
      </c>
      <c r="R12" t="s">
        <v>1565</v>
      </c>
      <c r="S12" t="s">
        <v>1570</v>
      </c>
      <c r="T12">
        <v>1821507</v>
      </c>
      <c r="U12">
        <v>4</v>
      </c>
      <c r="V12" t="s">
        <v>1573</v>
      </c>
      <c r="W12" t="s">
        <v>1592</v>
      </c>
      <c r="X12">
        <v>10.79</v>
      </c>
    </row>
    <row r="13" spans="1:24" x14ac:dyDescent="0.25">
      <c r="A13" t="s">
        <v>33</v>
      </c>
      <c r="B13" s="4">
        <v>45921</v>
      </c>
      <c r="C13" s="4" t="str">
        <f t="shared" si="0"/>
        <v>Sep</v>
      </c>
      <c r="D13" t="s">
        <v>1522</v>
      </c>
      <c r="E13" t="s">
        <v>1525</v>
      </c>
      <c r="F13" t="s">
        <v>1531</v>
      </c>
      <c r="G13" t="s">
        <v>1541</v>
      </c>
      <c r="H13" t="s">
        <v>1552</v>
      </c>
      <c r="I13">
        <v>2026</v>
      </c>
      <c r="J13" t="s">
        <v>1555</v>
      </c>
      <c r="K13" t="s">
        <v>1556</v>
      </c>
      <c r="L13">
        <v>1930457</v>
      </c>
      <c r="M13">
        <v>1772787</v>
      </c>
      <c r="N13">
        <v>157670</v>
      </c>
      <c r="O13">
        <v>29</v>
      </c>
      <c r="P13" t="str">
        <f t="shared" si="1"/>
        <v>young</v>
      </c>
      <c r="Q13" t="s">
        <v>1559</v>
      </c>
      <c r="R13" t="s">
        <v>1566</v>
      </c>
      <c r="S13" t="s">
        <v>1568</v>
      </c>
      <c r="T13">
        <v>717903</v>
      </c>
      <c r="U13">
        <v>1</v>
      </c>
      <c r="V13" t="s">
        <v>1577</v>
      </c>
      <c r="W13" t="s">
        <v>1594</v>
      </c>
      <c r="X13">
        <v>8.17</v>
      </c>
    </row>
    <row r="14" spans="1:24" x14ac:dyDescent="0.25">
      <c r="A14" t="s">
        <v>34</v>
      </c>
      <c r="B14" s="4">
        <v>45706</v>
      </c>
      <c r="C14" s="4" t="str">
        <f t="shared" si="0"/>
        <v>Feb</v>
      </c>
      <c r="D14" t="s">
        <v>1522</v>
      </c>
      <c r="E14" t="s">
        <v>1524</v>
      </c>
      <c r="F14" t="s">
        <v>1531</v>
      </c>
      <c r="G14" t="s">
        <v>1543</v>
      </c>
      <c r="H14" t="s">
        <v>1550</v>
      </c>
      <c r="I14">
        <v>2026</v>
      </c>
      <c r="J14" t="s">
        <v>1554</v>
      </c>
      <c r="K14" t="s">
        <v>1557</v>
      </c>
      <c r="L14">
        <v>1441918</v>
      </c>
      <c r="M14">
        <v>1198540</v>
      </c>
      <c r="N14">
        <v>243378</v>
      </c>
      <c r="O14">
        <v>51</v>
      </c>
      <c r="P14" t="str">
        <f t="shared" si="1"/>
        <v>senior</v>
      </c>
      <c r="Q14" t="s">
        <v>1558</v>
      </c>
      <c r="R14" t="s">
        <v>1565</v>
      </c>
      <c r="S14" t="s">
        <v>1570</v>
      </c>
      <c r="T14">
        <v>1124133</v>
      </c>
      <c r="U14">
        <v>2</v>
      </c>
      <c r="V14" t="s">
        <v>1578</v>
      </c>
      <c r="W14" t="s">
        <v>1591</v>
      </c>
      <c r="X14">
        <v>16.88</v>
      </c>
    </row>
    <row r="15" spans="1:24" x14ac:dyDescent="0.25">
      <c r="A15" t="s">
        <v>35</v>
      </c>
      <c r="B15" s="4">
        <v>45756</v>
      </c>
      <c r="C15" s="4" t="str">
        <f t="shared" si="0"/>
        <v>Apr</v>
      </c>
      <c r="D15" t="s">
        <v>1522</v>
      </c>
      <c r="E15" t="s">
        <v>1527</v>
      </c>
      <c r="F15" t="s">
        <v>1531</v>
      </c>
      <c r="G15" t="s">
        <v>1538</v>
      </c>
      <c r="H15" t="s">
        <v>1550</v>
      </c>
      <c r="I15">
        <v>2024</v>
      </c>
      <c r="J15" t="s">
        <v>1554</v>
      </c>
      <c r="K15" t="s">
        <v>1557</v>
      </c>
      <c r="L15">
        <v>1189513</v>
      </c>
      <c r="M15">
        <v>1111106</v>
      </c>
      <c r="N15">
        <v>78407</v>
      </c>
      <c r="O15">
        <v>26</v>
      </c>
      <c r="P15" t="str">
        <f t="shared" si="1"/>
        <v>young</v>
      </c>
      <c r="Q15" t="s">
        <v>1559</v>
      </c>
      <c r="R15" t="s">
        <v>1562</v>
      </c>
      <c r="S15" t="s">
        <v>1567</v>
      </c>
      <c r="T15">
        <v>444539</v>
      </c>
      <c r="U15">
        <v>4</v>
      </c>
      <c r="V15" t="s">
        <v>1573</v>
      </c>
      <c r="W15" t="s">
        <v>1592</v>
      </c>
      <c r="X15">
        <v>6.59</v>
      </c>
    </row>
    <row r="16" spans="1:24" x14ac:dyDescent="0.25">
      <c r="A16" t="s">
        <v>36</v>
      </c>
      <c r="B16" s="4">
        <v>45845</v>
      </c>
      <c r="C16" s="4" t="str">
        <f t="shared" si="0"/>
        <v>Jul</v>
      </c>
      <c r="D16" t="s">
        <v>1522</v>
      </c>
      <c r="E16" t="s">
        <v>1526</v>
      </c>
      <c r="F16" t="s">
        <v>1534</v>
      </c>
      <c r="G16" t="s">
        <v>1542</v>
      </c>
      <c r="H16" t="s">
        <v>1551</v>
      </c>
      <c r="I16">
        <v>2023</v>
      </c>
      <c r="J16" t="s">
        <v>1554</v>
      </c>
      <c r="K16" t="s">
        <v>1557</v>
      </c>
      <c r="L16">
        <v>756789</v>
      </c>
      <c r="M16">
        <v>721846</v>
      </c>
      <c r="N16">
        <v>34943</v>
      </c>
      <c r="O16">
        <v>50</v>
      </c>
      <c r="P16" t="str">
        <f t="shared" si="1"/>
        <v>adult</v>
      </c>
      <c r="Q16" t="s">
        <v>1559</v>
      </c>
      <c r="R16" t="s">
        <v>1564</v>
      </c>
      <c r="S16" t="s">
        <v>1568</v>
      </c>
      <c r="T16">
        <v>1968942</v>
      </c>
      <c r="U16">
        <v>1</v>
      </c>
      <c r="V16" t="s">
        <v>1579</v>
      </c>
      <c r="W16" t="s">
        <v>1594</v>
      </c>
      <c r="X16">
        <v>4.62</v>
      </c>
    </row>
    <row r="17" spans="1:24" x14ac:dyDescent="0.25">
      <c r="A17" t="s">
        <v>37</v>
      </c>
      <c r="B17" s="4">
        <v>46142</v>
      </c>
      <c r="C17" s="4" t="str">
        <f t="shared" si="0"/>
        <v>Apr</v>
      </c>
      <c r="D17" t="s">
        <v>1522</v>
      </c>
      <c r="E17" t="s">
        <v>1523</v>
      </c>
      <c r="F17" t="s">
        <v>1536</v>
      </c>
      <c r="G17" t="s">
        <v>1544</v>
      </c>
      <c r="H17" t="s">
        <v>1550</v>
      </c>
      <c r="I17">
        <v>2023</v>
      </c>
      <c r="J17" t="s">
        <v>1554</v>
      </c>
      <c r="K17" t="s">
        <v>1557</v>
      </c>
      <c r="L17">
        <v>1584264</v>
      </c>
      <c r="M17">
        <v>1426801</v>
      </c>
      <c r="N17">
        <v>157463</v>
      </c>
      <c r="O17">
        <v>22</v>
      </c>
      <c r="P17" t="str">
        <f t="shared" si="1"/>
        <v>young</v>
      </c>
      <c r="Q17" t="s">
        <v>1558</v>
      </c>
      <c r="R17" t="s">
        <v>1565</v>
      </c>
      <c r="S17" t="s">
        <v>1568</v>
      </c>
      <c r="T17">
        <v>146189</v>
      </c>
      <c r="U17">
        <v>5</v>
      </c>
      <c r="V17" t="s">
        <v>1580</v>
      </c>
      <c r="W17" t="s">
        <v>1592</v>
      </c>
      <c r="X17">
        <v>9.94</v>
      </c>
    </row>
    <row r="18" spans="1:24" x14ac:dyDescent="0.25">
      <c r="A18" t="s">
        <v>38</v>
      </c>
      <c r="B18" s="4">
        <v>46051</v>
      </c>
      <c r="C18" s="4" t="str">
        <f t="shared" si="0"/>
        <v>Jan</v>
      </c>
      <c r="D18" t="s">
        <v>1522</v>
      </c>
      <c r="E18" t="s">
        <v>1527</v>
      </c>
      <c r="F18" t="s">
        <v>1535</v>
      </c>
      <c r="G18" t="s">
        <v>1545</v>
      </c>
      <c r="H18" t="s">
        <v>1551</v>
      </c>
      <c r="I18">
        <v>2024</v>
      </c>
      <c r="J18" t="s">
        <v>1554</v>
      </c>
      <c r="K18" t="s">
        <v>1556</v>
      </c>
      <c r="L18">
        <v>936475</v>
      </c>
      <c r="M18">
        <v>841817</v>
      </c>
      <c r="N18">
        <v>94658</v>
      </c>
      <c r="O18">
        <v>54</v>
      </c>
      <c r="P18" t="str">
        <f t="shared" si="1"/>
        <v>senior</v>
      </c>
      <c r="Q18" t="s">
        <v>1560</v>
      </c>
      <c r="R18" t="s">
        <v>1566</v>
      </c>
      <c r="S18" t="s">
        <v>1567</v>
      </c>
      <c r="T18">
        <v>1317425</v>
      </c>
      <c r="U18">
        <v>1</v>
      </c>
      <c r="V18" t="s">
        <v>1581</v>
      </c>
      <c r="W18" t="s">
        <v>1591</v>
      </c>
      <c r="X18">
        <v>10.11</v>
      </c>
    </row>
    <row r="19" spans="1:24" x14ac:dyDescent="0.25">
      <c r="A19" t="s">
        <v>39</v>
      </c>
      <c r="B19" s="4">
        <v>46236</v>
      </c>
      <c r="C19" s="4" t="str">
        <f t="shared" si="0"/>
        <v>Aug</v>
      </c>
      <c r="D19" t="s">
        <v>1522</v>
      </c>
      <c r="E19" t="s">
        <v>1526</v>
      </c>
      <c r="F19" t="s">
        <v>1533</v>
      </c>
      <c r="G19" t="s">
        <v>1540</v>
      </c>
      <c r="H19" t="s">
        <v>4</v>
      </c>
      <c r="I19">
        <v>2024</v>
      </c>
      <c r="J19" t="s">
        <v>1554</v>
      </c>
      <c r="K19" t="s">
        <v>1556</v>
      </c>
      <c r="L19">
        <v>1631059</v>
      </c>
      <c r="M19">
        <v>1523147</v>
      </c>
      <c r="N19">
        <v>107912</v>
      </c>
      <c r="O19">
        <v>45</v>
      </c>
      <c r="P19" t="str">
        <f t="shared" si="1"/>
        <v>adult</v>
      </c>
      <c r="Q19" t="s">
        <v>1559</v>
      </c>
      <c r="R19" t="s">
        <v>1566</v>
      </c>
      <c r="S19" t="s">
        <v>1568</v>
      </c>
      <c r="T19">
        <v>1211929</v>
      </c>
      <c r="U19">
        <v>1</v>
      </c>
      <c r="V19" t="s">
        <v>1576</v>
      </c>
      <c r="W19" t="s">
        <v>1594</v>
      </c>
      <c r="X19">
        <v>6.62</v>
      </c>
    </row>
    <row r="20" spans="1:24" x14ac:dyDescent="0.25">
      <c r="A20" t="s">
        <v>40</v>
      </c>
      <c r="B20" s="4">
        <v>45939</v>
      </c>
      <c r="C20" s="4" t="str">
        <f t="shared" si="0"/>
        <v>Oct</v>
      </c>
      <c r="D20" t="s">
        <v>1522</v>
      </c>
      <c r="E20" t="s">
        <v>1526</v>
      </c>
      <c r="F20" t="s">
        <v>1528</v>
      </c>
      <c r="G20" t="s">
        <v>1539</v>
      </c>
      <c r="H20" t="s">
        <v>4</v>
      </c>
      <c r="I20">
        <v>2022</v>
      </c>
      <c r="J20" t="s">
        <v>1554</v>
      </c>
      <c r="K20" t="s">
        <v>1556</v>
      </c>
      <c r="L20">
        <v>1845766</v>
      </c>
      <c r="M20">
        <v>1691089</v>
      </c>
      <c r="N20">
        <v>154677</v>
      </c>
      <c r="O20">
        <v>42</v>
      </c>
      <c r="P20" t="str">
        <f t="shared" si="1"/>
        <v>adult</v>
      </c>
      <c r="Q20" t="s">
        <v>1558</v>
      </c>
      <c r="R20" t="s">
        <v>1566</v>
      </c>
      <c r="S20" t="s">
        <v>1567</v>
      </c>
      <c r="T20">
        <v>706714</v>
      </c>
      <c r="U20">
        <v>5</v>
      </c>
      <c r="V20" t="s">
        <v>1574</v>
      </c>
      <c r="W20" t="s">
        <v>1593</v>
      </c>
      <c r="X20">
        <v>8.3800000000000008</v>
      </c>
    </row>
    <row r="21" spans="1:24" x14ac:dyDescent="0.25">
      <c r="A21" t="s">
        <v>41</v>
      </c>
      <c r="B21" s="4">
        <v>46183</v>
      </c>
      <c r="C21" s="4" t="str">
        <f t="shared" si="0"/>
        <v>Jun</v>
      </c>
      <c r="D21" t="s">
        <v>1522</v>
      </c>
      <c r="E21" t="s">
        <v>1523</v>
      </c>
      <c r="F21" t="s">
        <v>1536</v>
      </c>
      <c r="G21" t="s">
        <v>1542</v>
      </c>
      <c r="H21" t="s">
        <v>4</v>
      </c>
      <c r="I21">
        <v>2024</v>
      </c>
      <c r="J21" t="s">
        <v>1554</v>
      </c>
      <c r="K21" t="s">
        <v>1557</v>
      </c>
      <c r="L21">
        <v>1677081</v>
      </c>
      <c r="M21">
        <v>1399071</v>
      </c>
      <c r="N21">
        <v>278010</v>
      </c>
      <c r="O21">
        <v>44</v>
      </c>
      <c r="P21" t="str">
        <f t="shared" si="1"/>
        <v>adult</v>
      </c>
      <c r="Q21" t="s">
        <v>1558</v>
      </c>
      <c r="R21" t="s">
        <v>1563</v>
      </c>
      <c r="S21" t="s">
        <v>1569</v>
      </c>
      <c r="T21">
        <v>83317</v>
      </c>
      <c r="U21">
        <v>2</v>
      </c>
      <c r="V21" t="s">
        <v>1582</v>
      </c>
      <c r="W21" t="s">
        <v>1592</v>
      </c>
      <c r="X21">
        <v>16.579999999999998</v>
      </c>
    </row>
    <row r="22" spans="1:24" x14ac:dyDescent="0.25">
      <c r="A22" t="s">
        <v>42</v>
      </c>
      <c r="B22" s="4">
        <v>45966</v>
      </c>
      <c r="C22" s="4" t="str">
        <f t="shared" si="0"/>
        <v>Nov</v>
      </c>
      <c r="D22" t="s">
        <v>1522</v>
      </c>
      <c r="E22" t="s">
        <v>1523</v>
      </c>
      <c r="F22" t="s">
        <v>1530</v>
      </c>
      <c r="G22" t="s">
        <v>1542</v>
      </c>
      <c r="H22" t="s">
        <v>1551</v>
      </c>
      <c r="I22">
        <v>2022</v>
      </c>
      <c r="J22" t="s">
        <v>1554</v>
      </c>
      <c r="K22" t="s">
        <v>1556</v>
      </c>
      <c r="L22">
        <v>778677</v>
      </c>
      <c r="M22">
        <v>700027</v>
      </c>
      <c r="N22">
        <v>78650</v>
      </c>
      <c r="O22">
        <v>48</v>
      </c>
      <c r="P22" t="str">
        <f t="shared" si="1"/>
        <v>adult</v>
      </c>
      <c r="Q22" t="s">
        <v>1559</v>
      </c>
      <c r="R22" t="s">
        <v>1563</v>
      </c>
      <c r="S22" t="s">
        <v>1567</v>
      </c>
      <c r="T22">
        <v>935006</v>
      </c>
      <c r="U22">
        <v>2</v>
      </c>
      <c r="V22" t="s">
        <v>1583</v>
      </c>
      <c r="W22" t="s">
        <v>1593</v>
      </c>
      <c r="X22">
        <v>10.1</v>
      </c>
    </row>
    <row r="23" spans="1:24" x14ac:dyDescent="0.25">
      <c r="A23" t="s">
        <v>43</v>
      </c>
      <c r="B23" s="4">
        <v>45837</v>
      </c>
      <c r="C23" s="4" t="str">
        <f t="shared" si="0"/>
        <v>Jun</v>
      </c>
      <c r="D23" t="s">
        <v>1522</v>
      </c>
      <c r="E23" t="s">
        <v>1527</v>
      </c>
      <c r="F23" t="s">
        <v>1532</v>
      </c>
      <c r="G23" t="s">
        <v>1540</v>
      </c>
      <c r="H23" t="s">
        <v>1551</v>
      </c>
      <c r="I23">
        <v>2022</v>
      </c>
      <c r="J23" t="s">
        <v>1554</v>
      </c>
      <c r="K23" t="s">
        <v>1557</v>
      </c>
      <c r="L23">
        <v>976291</v>
      </c>
      <c r="M23">
        <v>835895</v>
      </c>
      <c r="N23">
        <v>140396</v>
      </c>
      <c r="O23">
        <v>28</v>
      </c>
      <c r="P23" t="str">
        <f t="shared" si="1"/>
        <v>young</v>
      </c>
      <c r="Q23" t="s">
        <v>1559</v>
      </c>
      <c r="R23" t="s">
        <v>1563</v>
      </c>
      <c r="S23" t="s">
        <v>1567</v>
      </c>
      <c r="T23">
        <v>756370</v>
      </c>
      <c r="U23">
        <v>3</v>
      </c>
      <c r="V23" t="s">
        <v>1584</v>
      </c>
      <c r="W23" t="s">
        <v>1592</v>
      </c>
      <c r="X23">
        <v>14.38</v>
      </c>
    </row>
    <row r="24" spans="1:24" x14ac:dyDescent="0.25">
      <c r="A24" t="s">
        <v>44</v>
      </c>
      <c r="B24" s="4">
        <v>45877</v>
      </c>
      <c r="C24" s="4" t="str">
        <f t="shared" si="0"/>
        <v>Aug</v>
      </c>
      <c r="D24" t="s">
        <v>1522</v>
      </c>
      <c r="E24" t="s">
        <v>1527</v>
      </c>
      <c r="F24" t="s">
        <v>1531</v>
      </c>
      <c r="G24" t="s">
        <v>1538</v>
      </c>
      <c r="H24" t="s">
        <v>1550</v>
      </c>
      <c r="I24">
        <v>2026</v>
      </c>
      <c r="J24" t="s">
        <v>1554</v>
      </c>
      <c r="K24" t="s">
        <v>1556</v>
      </c>
      <c r="L24">
        <v>1559446</v>
      </c>
      <c r="M24">
        <v>1339418</v>
      </c>
      <c r="N24">
        <v>220028</v>
      </c>
      <c r="O24">
        <v>35</v>
      </c>
      <c r="P24" t="str">
        <f t="shared" si="1"/>
        <v>adult</v>
      </c>
      <c r="Q24" t="s">
        <v>1558</v>
      </c>
      <c r="R24" t="s">
        <v>1561</v>
      </c>
      <c r="S24" t="s">
        <v>1567</v>
      </c>
      <c r="T24">
        <v>1363090</v>
      </c>
      <c r="U24">
        <v>4</v>
      </c>
      <c r="V24" t="s">
        <v>1585</v>
      </c>
      <c r="W24" t="s">
        <v>1594</v>
      </c>
      <c r="X24">
        <v>14.11</v>
      </c>
    </row>
    <row r="25" spans="1:24" x14ac:dyDescent="0.25">
      <c r="A25" t="s">
        <v>45</v>
      </c>
      <c r="B25" s="4">
        <v>46094</v>
      </c>
      <c r="C25" s="4" t="str">
        <f t="shared" si="0"/>
        <v>Mar</v>
      </c>
      <c r="D25" t="s">
        <v>1522</v>
      </c>
      <c r="E25" t="s">
        <v>1523</v>
      </c>
      <c r="F25" t="s">
        <v>1529</v>
      </c>
      <c r="G25" t="s">
        <v>1538</v>
      </c>
      <c r="H25" t="s">
        <v>4</v>
      </c>
      <c r="I25">
        <v>2025</v>
      </c>
      <c r="J25" t="s">
        <v>1554</v>
      </c>
      <c r="K25" t="s">
        <v>1556</v>
      </c>
      <c r="L25">
        <v>1475282</v>
      </c>
      <c r="M25">
        <v>1281151</v>
      </c>
      <c r="N25">
        <v>194131</v>
      </c>
      <c r="O25">
        <v>53</v>
      </c>
      <c r="P25" t="str">
        <f t="shared" si="1"/>
        <v>senior</v>
      </c>
      <c r="Q25" t="s">
        <v>1558</v>
      </c>
      <c r="R25" t="s">
        <v>1562</v>
      </c>
      <c r="S25" t="s">
        <v>1569</v>
      </c>
      <c r="T25">
        <v>338095</v>
      </c>
      <c r="U25">
        <v>5</v>
      </c>
      <c r="V25" t="s">
        <v>1586</v>
      </c>
      <c r="W25" t="s">
        <v>1591</v>
      </c>
      <c r="X25">
        <v>13.16</v>
      </c>
    </row>
    <row r="26" spans="1:24" x14ac:dyDescent="0.25">
      <c r="A26" t="s">
        <v>46</v>
      </c>
      <c r="B26" s="4">
        <v>45908</v>
      </c>
      <c r="C26" s="4" t="str">
        <f t="shared" si="0"/>
        <v>Sep</v>
      </c>
      <c r="D26" t="s">
        <v>1522</v>
      </c>
      <c r="E26" t="s">
        <v>1523</v>
      </c>
      <c r="F26" t="s">
        <v>1535</v>
      </c>
      <c r="G26" t="s">
        <v>1538</v>
      </c>
      <c r="H26" t="s">
        <v>1551</v>
      </c>
      <c r="I26">
        <v>2025</v>
      </c>
      <c r="J26" t="s">
        <v>1554</v>
      </c>
      <c r="K26" t="s">
        <v>1556</v>
      </c>
      <c r="L26">
        <v>1043373</v>
      </c>
      <c r="M26">
        <v>880564</v>
      </c>
      <c r="N26">
        <v>162809</v>
      </c>
      <c r="O26">
        <v>36</v>
      </c>
      <c r="P26" t="str">
        <f t="shared" si="1"/>
        <v>adult</v>
      </c>
      <c r="Q26" t="s">
        <v>1559</v>
      </c>
      <c r="R26" t="s">
        <v>1562</v>
      </c>
      <c r="S26" t="s">
        <v>1567</v>
      </c>
      <c r="T26">
        <v>2047876</v>
      </c>
      <c r="U26">
        <v>4</v>
      </c>
      <c r="V26" t="s">
        <v>1577</v>
      </c>
      <c r="W26" t="s">
        <v>1594</v>
      </c>
      <c r="X26">
        <v>15.6</v>
      </c>
    </row>
    <row r="27" spans="1:24" x14ac:dyDescent="0.25">
      <c r="A27" t="s">
        <v>47</v>
      </c>
      <c r="B27" s="4">
        <v>45896</v>
      </c>
      <c r="C27" s="4" t="str">
        <f t="shared" si="0"/>
        <v>Aug</v>
      </c>
      <c r="D27" t="s">
        <v>1522</v>
      </c>
      <c r="E27" t="s">
        <v>1524</v>
      </c>
      <c r="F27" t="s">
        <v>1529</v>
      </c>
      <c r="G27" t="s">
        <v>1538</v>
      </c>
      <c r="H27" t="s">
        <v>4</v>
      </c>
      <c r="I27">
        <v>2025</v>
      </c>
      <c r="J27" t="s">
        <v>1554</v>
      </c>
      <c r="K27" t="s">
        <v>1556</v>
      </c>
      <c r="L27">
        <v>1816162</v>
      </c>
      <c r="M27">
        <v>1638042</v>
      </c>
      <c r="N27">
        <v>178120</v>
      </c>
      <c r="O27">
        <v>26</v>
      </c>
      <c r="P27" t="str">
        <f t="shared" si="1"/>
        <v>young</v>
      </c>
      <c r="Q27" t="s">
        <v>1558</v>
      </c>
      <c r="R27" t="s">
        <v>1565</v>
      </c>
      <c r="S27" t="s">
        <v>1567</v>
      </c>
      <c r="T27">
        <v>2154218</v>
      </c>
      <c r="U27">
        <v>5</v>
      </c>
      <c r="V27" t="s">
        <v>1585</v>
      </c>
      <c r="W27" t="s">
        <v>1594</v>
      </c>
      <c r="X27">
        <v>9.81</v>
      </c>
    </row>
    <row r="28" spans="1:24" x14ac:dyDescent="0.25">
      <c r="A28" t="s">
        <v>48</v>
      </c>
      <c r="B28" s="4">
        <v>45984</v>
      </c>
      <c r="C28" s="4" t="str">
        <f t="shared" si="0"/>
        <v>Nov</v>
      </c>
      <c r="D28" t="s">
        <v>1522</v>
      </c>
      <c r="E28" t="s">
        <v>1523</v>
      </c>
      <c r="F28" t="s">
        <v>1536</v>
      </c>
      <c r="G28" t="s">
        <v>1541</v>
      </c>
      <c r="H28" t="s">
        <v>4</v>
      </c>
      <c r="I28">
        <v>2024</v>
      </c>
      <c r="J28" t="s">
        <v>1554</v>
      </c>
      <c r="K28" t="s">
        <v>1556</v>
      </c>
      <c r="L28">
        <v>1536764</v>
      </c>
      <c r="M28">
        <v>1345344</v>
      </c>
      <c r="N28">
        <v>191420</v>
      </c>
      <c r="O28">
        <v>35</v>
      </c>
      <c r="P28" t="str">
        <f t="shared" si="1"/>
        <v>adult</v>
      </c>
      <c r="Q28" t="s">
        <v>1558</v>
      </c>
      <c r="R28" t="s">
        <v>1564</v>
      </c>
      <c r="S28" t="s">
        <v>1567</v>
      </c>
      <c r="T28">
        <v>1104820</v>
      </c>
      <c r="U28">
        <v>2</v>
      </c>
      <c r="V28" t="s">
        <v>1583</v>
      </c>
      <c r="W28" t="s">
        <v>1593</v>
      </c>
      <c r="X28">
        <v>12.46</v>
      </c>
    </row>
    <row r="29" spans="1:24" x14ac:dyDescent="0.25">
      <c r="A29" t="s">
        <v>49</v>
      </c>
      <c r="B29" s="4">
        <v>46139</v>
      </c>
      <c r="C29" s="4" t="str">
        <f t="shared" si="0"/>
        <v>Apr</v>
      </c>
      <c r="D29" t="s">
        <v>1522</v>
      </c>
      <c r="E29" t="s">
        <v>1526</v>
      </c>
      <c r="F29" t="s">
        <v>1537</v>
      </c>
      <c r="G29" t="s">
        <v>1541</v>
      </c>
      <c r="H29" t="s">
        <v>1551</v>
      </c>
      <c r="I29">
        <v>2025</v>
      </c>
      <c r="J29" t="s">
        <v>1554</v>
      </c>
      <c r="K29" t="s">
        <v>1556</v>
      </c>
      <c r="L29">
        <v>828842</v>
      </c>
      <c r="M29">
        <v>770131</v>
      </c>
      <c r="N29">
        <v>58711</v>
      </c>
      <c r="O29">
        <v>52</v>
      </c>
      <c r="P29" t="str">
        <f t="shared" si="1"/>
        <v>senior</v>
      </c>
      <c r="Q29" t="s">
        <v>1559</v>
      </c>
      <c r="R29" t="s">
        <v>1564</v>
      </c>
      <c r="S29" t="s">
        <v>1567</v>
      </c>
      <c r="T29">
        <v>1332831</v>
      </c>
      <c r="U29">
        <v>5</v>
      </c>
      <c r="V29" t="s">
        <v>1580</v>
      </c>
      <c r="W29" t="s">
        <v>1592</v>
      </c>
      <c r="X29">
        <v>7.08</v>
      </c>
    </row>
    <row r="30" spans="1:24" x14ac:dyDescent="0.25">
      <c r="A30" t="s">
        <v>50</v>
      </c>
      <c r="B30" s="4">
        <v>46243</v>
      </c>
      <c r="C30" s="4" t="str">
        <f t="shared" si="0"/>
        <v>Aug</v>
      </c>
      <c r="D30" t="s">
        <v>1522</v>
      </c>
      <c r="E30" t="s">
        <v>1523</v>
      </c>
      <c r="F30" t="s">
        <v>1534</v>
      </c>
      <c r="G30" t="s">
        <v>1540</v>
      </c>
      <c r="H30" t="s">
        <v>1551</v>
      </c>
      <c r="I30">
        <v>2026</v>
      </c>
      <c r="J30" t="s">
        <v>1554</v>
      </c>
      <c r="K30" t="s">
        <v>1557</v>
      </c>
      <c r="L30">
        <v>975487</v>
      </c>
      <c r="M30">
        <v>911068</v>
      </c>
      <c r="N30">
        <v>64419</v>
      </c>
      <c r="O30">
        <v>65</v>
      </c>
      <c r="P30" t="str">
        <f t="shared" si="1"/>
        <v>senior</v>
      </c>
      <c r="Q30" t="s">
        <v>1558</v>
      </c>
      <c r="R30" t="s">
        <v>1561</v>
      </c>
      <c r="S30" t="s">
        <v>1567</v>
      </c>
      <c r="T30">
        <v>445825</v>
      </c>
      <c r="U30">
        <v>3</v>
      </c>
      <c r="V30" t="s">
        <v>1576</v>
      </c>
      <c r="W30" t="s">
        <v>1594</v>
      </c>
      <c r="X30">
        <v>6.6</v>
      </c>
    </row>
    <row r="31" spans="1:24" x14ac:dyDescent="0.25">
      <c r="A31" t="s">
        <v>51</v>
      </c>
      <c r="B31" s="4">
        <v>45835</v>
      </c>
      <c r="C31" s="4" t="str">
        <f t="shared" si="0"/>
        <v>Jun</v>
      </c>
      <c r="D31" t="s">
        <v>1522</v>
      </c>
      <c r="E31" t="s">
        <v>1523</v>
      </c>
      <c r="F31" t="s">
        <v>1534</v>
      </c>
      <c r="G31" t="s">
        <v>1539</v>
      </c>
      <c r="H31" t="s">
        <v>4</v>
      </c>
      <c r="I31">
        <v>2026</v>
      </c>
      <c r="J31" t="s">
        <v>1554</v>
      </c>
      <c r="K31" t="s">
        <v>1556</v>
      </c>
      <c r="L31">
        <v>1497140</v>
      </c>
      <c r="M31">
        <v>1283598</v>
      </c>
      <c r="N31">
        <v>213542</v>
      </c>
      <c r="O31">
        <v>35</v>
      </c>
      <c r="P31" t="str">
        <f t="shared" si="1"/>
        <v>adult</v>
      </c>
      <c r="Q31" t="s">
        <v>1558</v>
      </c>
      <c r="R31" t="s">
        <v>1563</v>
      </c>
      <c r="S31" t="s">
        <v>1567</v>
      </c>
      <c r="T31">
        <v>448040</v>
      </c>
      <c r="U31">
        <v>3</v>
      </c>
      <c r="V31" t="s">
        <v>1584</v>
      </c>
      <c r="W31" t="s">
        <v>1592</v>
      </c>
      <c r="X31">
        <v>14.26</v>
      </c>
    </row>
    <row r="32" spans="1:24" x14ac:dyDescent="0.25">
      <c r="A32" t="s">
        <v>52</v>
      </c>
      <c r="B32" s="4">
        <v>46232</v>
      </c>
      <c r="C32" s="4" t="str">
        <f t="shared" si="0"/>
        <v>Jul</v>
      </c>
      <c r="D32" t="s">
        <v>1522</v>
      </c>
      <c r="E32" t="s">
        <v>1523</v>
      </c>
      <c r="F32" t="s">
        <v>1533</v>
      </c>
      <c r="G32" t="s">
        <v>1540</v>
      </c>
      <c r="H32" t="s">
        <v>4</v>
      </c>
      <c r="I32">
        <v>2024</v>
      </c>
      <c r="J32" t="s">
        <v>1554</v>
      </c>
      <c r="K32" t="s">
        <v>1556</v>
      </c>
      <c r="L32">
        <v>1354452</v>
      </c>
      <c r="M32">
        <v>1136956</v>
      </c>
      <c r="N32">
        <v>217496</v>
      </c>
      <c r="O32">
        <v>56</v>
      </c>
      <c r="P32" t="str">
        <f t="shared" si="1"/>
        <v>senior</v>
      </c>
      <c r="Q32" t="s">
        <v>1559</v>
      </c>
      <c r="R32" t="s">
        <v>1566</v>
      </c>
      <c r="S32" t="s">
        <v>1570</v>
      </c>
      <c r="T32">
        <v>1925240</v>
      </c>
      <c r="U32">
        <v>1</v>
      </c>
      <c r="V32" t="s">
        <v>1587</v>
      </c>
      <c r="W32" t="s">
        <v>1594</v>
      </c>
      <c r="X32">
        <v>16.059999999999999</v>
      </c>
    </row>
    <row r="33" spans="1:24" x14ac:dyDescent="0.25">
      <c r="A33" t="s">
        <v>53</v>
      </c>
      <c r="B33" s="4">
        <v>45987</v>
      </c>
      <c r="C33" s="4" t="str">
        <f t="shared" si="0"/>
        <v>Nov</v>
      </c>
      <c r="D33" t="s">
        <v>1522</v>
      </c>
      <c r="E33" t="s">
        <v>1525</v>
      </c>
      <c r="F33" t="s">
        <v>1533</v>
      </c>
      <c r="G33" t="s">
        <v>1540</v>
      </c>
      <c r="H33" t="s">
        <v>1550</v>
      </c>
      <c r="I33">
        <v>2026</v>
      </c>
      <c r="J33" t="s">
        <v>1554</v>
      </c>
      <c r="K33" t="s">
        <v>1557</v>
      </c>
      <c r="L33">
        <v>1455710</v>
      </c>
      <c r="M33">
        <v>1302951</v>
      </c>
      <c r="N33">
        <v>152759</v>
      </c>
      <c r="O33">
        <v>58</v>
      </c>
      <c r="P33" t="str">
        <f t="shared" si="1"/>
        <v>senior</v>
      </c>
      <c r="Q33" t="s">
        <v>1558</v>
      </c>
      <c r="R33" t="s">
        <v>1561</v>
      </c>
      <c r="S33" t="s">
        <v>1570</v>
      </c>
      <c r="T33">
        <v>17379</v>
      </c>
      <c r="U33">
        <v>1</v>
      </c>
      <c r="V33" t="s">
        <v>1583</v>
      </c>
      <c r="W33" t="s">
        <v>1593</v>
      </c>
      <c r="X33">
        <v>10.49</v>
      </c>
    </row>
    <row r="34" spans="1:24" x14ac:dyDescent="0.25">
      <c r="A34" t="s">
        <v>54</v>
      </c>
      <c r="B34" s="4">
        <v>45665</v>
      </c>
      <c r="C34" s="4" t="str">
        <f t="shared" si="0"/>
        <v>Jan</v>
      </c>
      <c r="D34" t="s">
        <v>1522</v>
      </c>
      <c r="E34" t="s">
        <v>1525</v>
      </c>
      <c r="F34" t="s">
        <v>1533</v>
      </c>
      <c r="G34" t="s">
        <v>1546</v>
      </c>
      <c r="H34" t="s">
        <v>1550</v>
      </c>
      <c r="I34">
        <v>2025</v>
      </c>
      <c r="J34" t="s">
        <v>1554</v>
      </c>
      <c r="K34" t="s">
        <v>1556</v>
      </c>
      <c r="L34">
        <v>1557865</v>
      </c>
      <c r="M34">
        <v>1335821</v>
      </c>
      <c r="N34">
        <v>222044</v>
      </c>
      <c r="O34">
        <v>61</v>
      </c>
      <c r="P34" t="str">
        <f t="shared" si="1"/>
        <v>senior</v>
      </c>
      <c r="Q34" t="s">
        <v>1559</v>
      </c>
      <c r="R34" t="s">
        <v>1561</v>
      </c>
      <c r="S34" t="s">
        <v>1570</v>
      </c>
      <c r="T34">
        <v>2137465</v>
      </c>
      <c r="U34">
        <v>5</v>
      </c>
      <c r="V34" t="s">
        <v>1571</v>
      </c>
      <c r="W34" t="s">
        <v>1591</v>
      </c>
      <c r="X34">
        <v>14.25</v>
      </c>
    </row>
    <row r="35" spans="1:24" x14ac:dyDescent="0.25">
      <c r="A35" t="s">
        <v>55</v>
      </c>
      <c r="B35" s="4">
        <v>45807</v>
      </c>
      <c r="C35" s="4" t="str">
        <f t="shared" si="0"/>
        <v>May</v>
      </c>
      <c r="D35" t="s">
        <v>1522</v>
      </c>
      <c r="E35" t="s">
        <v>1524</v>
      </c>
      <c r="F35" t="s">
        <v>1533</v>
      </c>
      <c r="G35" t="s">
        <v>1547</v>
      </c>
      <c r="H35" t="s">
        <v>1551</v>
      </c>
      <c r="I35">
        <v>2023</v>
      </c>
      <c r="J35" t="s">
        <v>1553</v>
      </c>
      <c r="K35" t="s">
        <v>1557</v>
      </c>
      <c r="L35">
        <v>999950</v>
      </c>
      <c r="M35">
        <v>807112</v>
      </c>
      <c r="N35">
        <v>192838</v>
      </c>
      <c r="O35">
        <v>48</v>
      </c>
      <c r="P35" t="str">
        <f t="shared" si="1"/>
        <v>adult</v>
      </c>
      <c r="Q35" t="s">
        <v>1558</v>
      </c>
      <c r="R35" t="s">
        <v>1564</v>
      </c>
      <c r="S35" t="s">
        <v>1569</v>
      </c>
      <c r="T35">
        <v>753510</v>
      </c>
      <c r="U35">
        <v>3</v>
      </c>
      <c r="V35" t="s">
        <v>1572</v>
      </c>
      <c r="W35" t="s">
        <v>1592</v>
      </c>
      <c r="X35">
        <v>19.28</v>
      </c>
    </row>
    <row r="36" spans="1:24" x14ac:dyDescent="0.25">
      <c r="A36" t="s">
        <v>56</v>
      </c>
      <c r="B36" s="4">
        <v>46192</v>
      </c>
      <c r="C36" s="4" t="str">
        <f t="shared" si="0"/>
        <v>Jun</v>
      </c>
      <c r="D36" t="s">
        <v>1522</v>
      </c>
      <c r="E36" t="s">
        <v>1525</v>
      </c>
      <c r="F36" t="s">
        <v>1531</v>
      </c>
      <c r="G36" t="s">
        <v>1539</v>
      </c>
      <c r="H36" t="s">
        <v>4</v>
      </c>
      <c r="I36">
        <v>2025</v>
      </c>
      <c r="J36" t="s">
        <v>1554</v>
      </c>
      <c r="K36" t="s">
        <v>1557</v>
      </c>
      <c r="L36">
        <v>1579485</v>
      </c>
      <c r="M36">
        <v>1307702</v>
      </c>
      <c r="N36">
        <v>271783</v>
      </c>
      <c r="O36">
        <v>21</v>
      </c>
      <c r="P36" t="str">
        <f t="shared" si="1"/>
        <v>young</v>
      </c>
      <c r="Q36" t="s">
        <v>1558</v>
      </c>
      <c r="R36" t="s">
        <v>1564</v>
      </c>
      <c r="S36" t="s">
        <v>1567</v>
      </c>
      <c r="T36">
        <v>756768</v>
      </c>
      <c r="U36">
        <v>1</v>
      </c>
      <c r="V36" t="s">
        <v>1582</v>
      </c>
      <c r="W36" t="s">
        <v>1592</v>
      </c>
      <c r="X36">
        <v>17.21</v>
      </c>
    </row>
    <row r="37" spans="1:24" x14ac:dyDescent="0.25">
      <c r="A37" t="s">
        <v>57</v>
      </c>
      <c r="B37" s="4">
        <v>45718</v>
      </c>
      <c r="C37" s="4" t="str">
        <f t="shared" si="0"/>
        <v>Mar</v>
      </c>
      <c r="D37" t="s">
        <v>1522</v>
      </c>
      <c r="E37" t="s">
        <v>1525</v>
      </c>
      <c r="F37" t="s">
        <v>1529</v>
      </c>
      <c r="G37" t="s">
        <v>1538</v>
      </c>
      <c r="H37" t="s">
        <v>1552</v>
      </c>
      <c r="I37">
        <v>2024</v>
      </c>
      <c r="J37" t="s">
        <v>1555</v>
      </c>
      <c r="K37" t="s">
        <v>1556</v>
      </c>
      <c r="L37">
        <v>1891371</v>
      </c>
      <c r="M37">
        <v>1595237</v>
      </c>
      <c r="N37">
        <v>296134</v>
      </c>
      <c r="O37">
        <v>56</v>
      </c>
      <c r="P37" t="str">
        <f t="shared" si="1"/>
        <v>senior</v>
      </c>
      <c r="Q37" t="s">
        <v>1559</v>
      </c>
      <c r="R37" t="s">
        <v>1565</v>
      </c>
      <c r="S37" t="s">
        <v>1567</v>
      </c>
      <c r="T37">
        <v>1024816</v>
      </c>
      <c r="U37">
        <v>1</v>
      </c>
      <c r="V37" t="s">
        <v>1588</v>
      </c>
      <c r="W37" t="s">
        <v>1591</v>
      </c>
      <c r="X37">
        <v>15.66</v>
      </c>
    </row>
    <row r="38" spans="1:24" x14ac:dyDescent="0.25">
      <c r="A38" t="s">
        <v>58</v>
      </c>
      <c r="B38" s="4">
        <v>46063</v>
      </c>
      <c r="C38" s="4" t="str">
        <f t="shared" si="0"/>
        <v>Feb</v>
      </c>
      <c r="D38" t="s">
        <v>1522</v>
      </c>
      <c r="E38" t="s">
        <v>1525</v>
      </c>
      <c r="F38" t="s">
        <v>1537</v>
      </c>
      <c r="G38" t="s">
        <v>1548</v>
      </c>
      <c r="H38" t="s">
        <v>1551</v>
      </c>
      <c r="I38">
        <v>2023</v>
      </c>
      <c r="J38" t="s">
        <v>1554</v>
      </c>
      <c r="K38" t="s">
        <v>1556</v>
      </c>
      <c r="L38">
        <v>1025387</v>
      </c>
      <c r="M38">
        <v>938369</v>
      </c>
      <c r="N38">
        <v>87018</v>
      </c>
      <c r="O38">
        <v>57</v>
      </c>
      <c r="P38" t="str">
        <f t="shared" si="1"/>
        <v>senior</v>
      </c>
      <c r="Q38" t="s">
        <v>1558</v>
      </c>
      <c r="R38" t="s">
        <v>1561</v>
      </c>
      <c r="S38" t="s">
        <v>1570</v>
      </c>
      <c r="T38">
        <v>843879</v>
      </c>
      <c r="U38">
        <v>2</v>
      </c>
      <c r="V38" t="s">
        <v>1589</v>
      </c>
      <c r="W38" t="s">
        <v>1591</v>
      </c>
      <c r="X38">
        <v>8.49</v>
      </c>
    </row>
    <row r="39" spans="1:24" x14ac:dyDescent="0.25">
      <c r="A39" t="s">
        <v>59</v>
      </c>
      <c r="B39" s="4">
        <v>45883</v>
      </c>
      <c r="C39" s="4" t="str">
        <f t="shared" si="0"/>
        <v>Aug</v>
      </c>
      <c r="D39" t="s">
        <v>1522</v>
      </c>
      <c r="E39" t="s">
        <v>1526</v>
      </c>
      <c r="F39" t="s">
        <v>1529</v>
      </c>
      <c r="G39" t="s">
        <v>1540</v>
      </c>
      <c r="H39" t="s">
        <v>1551</v>
      </c>
      <c r="I39">
        <v>2025</v>
      </c>
      <c r="J39" t="s">
        <v>1554</v>
      </c>
      <c r="K39" t="s">
        <v>1556</v>
      </c>
      <c r="L39">
        <v>831841</v>
      </c>
      <c r="M39">
        <v>695693</v>
      </c>
      <c r="N39">
        <v>136148</v>
      </c>
      <c r="O39">
        <v>45</v>
      </c>
      <c r="P39" t="str">
        <f t="shared" si="1"/>
        <v>adult</v>
      </c>
      <c r="Q39" t="s">
        <v>1558</v>
      </c>
      <c r="R39" t="s">
        <v>1563</v>
      </c>
      <c r="S39" t="s">
        <v>1567</v>
      </c>
      <c r="T39">
        <v>1142039</v>
      </c>
      <c r="U39">
        <v>5</v>
      </c>
      <c r="V39" t="s">
        <v>1585</v>
      </c>
      <c r="W39" t="s">
        <v>1594</v>
      </c>
      <c r="X39">
        <v>16.37</v>
      </c>
    </row>
    <row r="40" spans="1:24" x14ac:dyDescent="0.25">
      <c r="A40" t="s">
        <v>60</v>
      </c>
      <c r="B40" s="4">
        <v>45952</v>
      </c>
      <c r="C40" s="4" t="str">
        <f t="shared" si="0"/>
        <v>Oct</v>
      </c>
      <c r="D40" t="s">
        <v>1522</v>
      </c>
      <c r="E40" t="s">
        <v>1527</v>
      </c>
      <c r="F40" t="s">
        <v>1531</v>
      </c>
      <c r="G40" t="s">
        <v>1549</v>
      </c>
      <c r="H40" t="s">
        <v>1552</v>
      </c>
      <c r="I40">
        <v>2025</v>
      </c>
      <c r="J40" t="s">
        <v>1555</v>
      </c>
      <c r="K40" t="s">
        <v>1556</v>
      </c>
      <c r="L40">
        <v>1867284</v>
      </c>
      <c r="M40">
        <v>1628331</v>
      </c>
      <c r="N40">
        <v>238953</v>
      </c>
      <c r="O40">
        <v>50</v>
      </c>
      <c r="P40" t="str">
        <f t="shared" si="1"/>
        <v>adult</v>
      </c>
      <c r="Q40" t="s">
        <v>1559</v>
      </c>
      <c r="R40" t="s">
        <v>1563</v>
      </c>
      <c r="S40" t="s">
        <v>1570</v>
      </c>
      <c r="T40">
        <v>2057618</v>
      </c>
      <c r="U40">
        <v>5</v>
      </c>
      <c r="V40" t="s">
        <v>1574</v>
      </c>
      <c r="W40" t="s">
        <v>1593</v>
      </c>
      <c r="X40">
        <v>12.8</v>
      </c>
    </row>
    <row r="41" spans="1:24" x14ac:dyDescent="0.25">
      <c r="A41" t="s">
        <v>61</v>
      </c>
      <c r="B41" s="4">
        <v>45680</v>
      </c>
      <c r="C41" s="4" t="str">
        <f t="shared" si="0"/>
        <v>Jan</v>
      </c>
      <c r="D41" t="s">
        <v>1522</v>
      </c>
      <c r="E41" t="s">
        <v>1523</v>
      </c>
      <c r="F41" t="s">
        <v>1533</v>
      </c>
      <c r="G41" t="s">
        <v>1541</v>
      </c>
      <c r="H41" t="s">
        <v>4</v>
      </c>
      <c r="I41">
        <v>2022</v>
      </c>
      <c r="J41" t="s">
        <v>1554</v>
      </c>
      <c r="K41" t="s">
        <v>1556</v>
      </c>
      <c r="L41">
        <v>1710490</v>
      </c>
      <c r="M41">
        <v>1562534</v>
      </c>
      <c r="N41">
        <v>147956</v>
      </c>
      <c r="O41">
        <v>41</v>
      </c>
      <c r="P41" t="str">
        <f t="shared" si="1"/>
        <v>adult</v>
      </c>
      <c r="Q41" t="s">
        <v>1559</v>
      </c>
      <c r="R41" t="s">
        <v>1561</v>
      </c>
      <c r="S41" t="s">
        <v>1570</v>
      </c>
      <c r="T41">
        <v>925151</v>
      </c>
      <c r="U41">
        <v>1</v>
      </c>
      <c r="V41" t="s">
        <v>1571</v>
      </c>
      <c r="W41" t="s">
        <v>1591</v>
      </c>
      <c r="X41">
        <v>8.65</v>
      </c>
    </row>
    <row r="42" spans="1:24" x14ac:dyDescent="0.25">
      <c r="A42" t="s">
        <v>62</v>
      </c>
      <c r="B42" s="4">
        <v>45709</v>
      </c>
      <c r="C42" s="4" t="str">
        <f t="shared" si="0"/>
        <v>Feb</v>
      </c>
      <c r="D42" t="s">
        <v>1522</v>
      </c>
      <c r="E42" t="s">
        <v>1526</v>
      </c>
      <c r="F42" t="s">
        <v>1536</v>
      </c>
      <c r="G42" t="s">
        <v>1547</v>
      </c>
      <c r="H42" t="s">
        <v>1550</v>
      </c>
      <c r="I42">
        <v>2024</v>
      </c>
      <c r="J42" t="s">
        <v>1554</v>
      </c>
      <c r="K42" t="s">
        <v>1557</v>
      </c>
      <c r="L42">
        <v>1548377</v>
      </c>
      <c r="M42">
        <v>1381008</v>
      </c>
      <c r="N42">
        <v>167369</v>
      </c>
      <c r="O42">
        <v>26</v>
      </c>
      <c r="P42" t="str">
        <f t="shared" si="1"/>
        <v>young</v>
      </c>
      <c r="Q42" t="s">
        <v>1559</v>
      </c>
      <c r="R42" t="s">
        <v>1565</v>
      </c>
      <c r="S42" t="s">
        <v>1567</v>
      </c>
      <c r="T42">
        <v>1315714</v>
      </c>
      <c r="U42">
        <v>4</v>
      </c>
      <c r="V42" t="s">
        <v>1578</v>
      </c>
      <c r="W42" t="s">
        <v>1591</v>
      </c>
      <c r="X42">
        <v>10.81</v>
      </c>
    </row>
    <row r="43" spans="1:24" x14ac:dyDescent="0.25">
      <c r="A43" t="s">
        <v>63</v>
      </c>
      <c r="B43" s="4">
        <v>46244</v>
      </c>
      <c r="C43" s="4" t="str">
        <f t="shared" si="0"/>
        <v>Aug</v>
      </c>
      <c r="D43" t="s">
        <v>1522</v>
      </c>
      <c r="E43" t="s">
        <v>1525</v>
      </c>
      <c r="F43" t="s">
        <v>1534</v>
      </c>
      <c r="G43" t="s">
        <v>1541</v>
      </c>
      <c r="H43" t="s">
        <v>4</v>
      </c>
      <c r="I43">
        <v>2024</v>
      </c>
      <c r="J43" t="s">
        <v>1554</v>
      </c>
      <c r="K43" t="s">
        <v>1557</v>
      </c>
      <c r="L43">
        <v>1350854</v>
      </c>
      <c r="M43">
        <v>1142190</v>
      </c>
      <c r="N43">
        <v>208664</v>
      </c>
      <c r="O43">
        <v>48</v>
      </c>
      <c r="P43" t="str">
        <f t="shared" si="1"/>
        <v>adult</v>
      </c>
      <c r="Q43" t="s">
        <v>1559</v>
      </c>
      <c r="R43" t="s">
        <v>1565</v>
      </c>
      <c r="S43" t="s">
        <v>1569</v>
      </c>
      <c r="T43">
        <v>1311340</v>
      </c>
      <c r="U43">
        <v>2</v>
      </c>
      <c r="V43" t="s">
        <v>1576</v>
      </c>
      <c r="W43" t="s">
        <v>1594</v>
      </c>
      <c r="X43">
        <v>15.45</v>
      </c>
    </row>
    <row r="44" spans="1:24" x14ac:dyDescent="0.25">
      <c r="A44" t="s">
        <v>64</v>
      </c>
      <c r="B44" s="4">
        <v>45913</v>
      </c>
      <c r="C44" s="4" t="str">
        <f t="shared" si="0"/>
        <v>Sep</v>
      </c>
      <c r="D44" t="s">
        <v>1522</v>
      </c>
      <c r="E44" t="s">
        <v>1524</v>
      </c>
      <c r="F44" t="s">
        <v>1531</v>
      </c>
      <c r="G44" t="s">
        <v>1542</v>
      </c>
      <c r="H44" t="s">
        <v>4</v>
      </c>
      <c r="I44">
        <v>2023</v>
      </c>
      <c r="J44" t="s">
        <v>1554</v>
      </c>
      <c r="K44" t="s">
        <v>1556</v>
      </c>
      <c r="L44">
        <v>1810943</v>
      </c>
      <c r="M44">
        <v>1641297</v>
      </c>
      <c r="N44">
        <v>169646</v>
      </c>
      <c r="O44">
        <v>36</v>
      </c>
      <c r="P44" t="str">
        <f t="shared" si="1"/>
        <v>adult</v>
      </c>
      <c r="Q44" t="s">
        <v>1559</v>
      </c>
      <c r="R44" t="s">
        <v>1564</v>
      </c>
      <c r="S44" t="s">
        <v>1568</v>
      </c>
      <c r="T44">
        <v>443719</v>
      </c>
      <c r="U44">
        <v>1</v>
      </c>
      <c r="V44" t="s">
        <v>1577</v>
      </c>
      <c r="W44" t="s">
        <v>1594</v>
      </c>
      <c r="X44">
        <v>9.3699999999999992</v>
      </c>
    </row>
    <row r="45" spans="1:24" x14ac:dyDescent="0.25">
      <c r="A45" t="s">
        <v>65</v>
      </c>
      <c r="B45" s="4">
        <v>46079</v>
      </c>
      <c r="C45" s="4" t="str">
        <f t="shared" si="0"/>
        <v>Feb</v>
      </c>
      <c r="D45" t="s">
        <v>1522</v>
      </c>
      <c r="E45" t="s">
        <v>1523</v>
      </c>
      <c r="F45" t="s">
        <v>1532</v>
      </c>
      <c r="G45" t="s">
        <v>1541</v>
      </c>
      <c r="H45" t="s">
        <v>1550</v>
      </c>
      <c r="I45">
        <v>2025</v>
      </c>
      <c r="J45" t="s">
        <v>1554</v>
      </c>
      <c r="K45" t="s">
        <v>1557</v>
      </c>
      <c r="L45">
        <v>1498936</v>
      </c>
      <c r="M45">
        <v>1388096</v>
      </c>
      <c r="N45">
        <v>110840</v>
      </c>
      <c r="O45">
        <v>32</v>
      </c>
      <c r="P45" t="str">
        <f t="shared" si="1"/>
        <v>adult</v>
      </c>
      <c r="Q45" t="s">
        <v>1558</v>
      </c>
      <c r="R45" t="s">
        <v>1565</v>
      </c>
      <c r="S45" t="s">
        <v>1567</v>
      </c>
      <c r="T45">
        <v>1618972</v>
      </c>
      <c r="U45">
        <v>5</v>
      </c>
      <c r="V45" t="s">
        <v>1589</v>
      </c>
      <c r="W45" t="s">
        <v>1591</v>
      </c>
      <c r="X45">
        <v>7.39</v>
      </c>
    </row>
    <row r="46" spans="1:24" x14ac:dyDescent="0.25">
      <c r="A46" t="s">
        <v>66</v>
      </c>
      <c r="B46" s="4">
        <v>45923</v>
      </c>
      <c r="C46" s="4" t="str">
        <f t="shared" si="0"/>
        <v>Sep</v>
      </c>
      <c r="D46" t="s">
        <v>1522</v>
      </c>
      <c r="E46" t="s">
        <v>1527</v>
      </c>
      <c r="F46" t="s">
        <v>1537</v>
      </c>
      <c r="G46" t="s">
        <v>1540</v>
      </c>
      <c r="H46" t="s">
        <v>4</v>
      </c>
      <c r="I46">
        <v>2023</v>
      </c>
      <c r="J46" t="s">
        <v>1554</v>
      </c>
      <c r="K46" t="s">
        <v>1557</v>
      </c>
      <c r="L46">
        <v>1492347</v>
      </c>
      <c r="M46">
        <v>1199941</v>
      </c>
      <c r="N46">
        <v>292406</v>
      </c>
      <c r="O46">
        <v>28</v>
      </c>
      <c r="P46" t="str">
        <f t="shared" si="1"/>
        <v>young</v>
      </c>
      <c r="Q46" t="s">
        <v>1558</v>
      </c>
      <c r="R46" t="s">
        <v>1565</v>
      </c>
      <c r="S46" t="s">
        <v>1568</v>
      </c>
      <c r="T46">
        <v>1474288</v>
      </c>
      <c r="U46">
        <v>3</v>
      </c>
      <c r="V46" t="s">
        <v>1577</v>
      </c>
      <c r="W46" t="s">
        <v>1594</v>
      </c>
      <c r="X46">
        <v>19.59</v>
      </c>
    </row>
    <row r="47" spans="1:24" x14ac:dyDescent="0.25">
      <c r="A47" t="s">
        <v>67</v>
      </c>
      <c r="B47" s="4">
        <v>45714</v>
      </c>
      <c r="C47" s="4" t="str">
        <f t="shared" si="0"/>
        <v>Feb</v>
      </c>
      <c r="D47" t="s">
        <v>1522</v>
      </c>
      <c r="E47" t="s">
        <v>1525</v>
      </c>
      <c r="F47" t="s">
        <v>1530</v>
      </c>
      <c r="G47" t="s">
        <v>1545</v>
      </c>
      <c r="H47" t="s">
        <v>1551</v>
      </c>
      <c r="I47">
        <v>2025</v>
      </c>
      <c r="J47" t="s">
        <v>1554</v>
      </c>
      <c r="K47" t="s">
        <v>1557</v>
      </c>
      <c r="L47">
        <v>764075</v>
      </c>
      <c r="M47">
        <v>749075</v>
      </c>
      <c r="N47">
        <v>15000</v>
      </c>
      <c r="O47">
        <v>21</v>
      </c>
      <c r="P47" t="str">
        <f t="shared" si="1"/>
        <v>young</v>
      </c>
      <c r="Q47" t="s">
        <v>1558</v>
      </c>
      <c r="R47" t="s">
        <v>1564</v>
      </c>
      <c r="S47" t="s">
        <v>1569</v>
      </c>
      <c r="T47">
        <v>861367</v>
      </c>
      <c r="U47">
        <v>3</v>
      </c>
      <c r="V47" t="s">
        <v>1578</v>
      </c>
      <c r="W47" t="s">
        <v>1591</v>
      </c>
      <c r="X47">
        <v>1.96</v>
      </c>
    </row>
    <row r="48" spans="1:24" x14ac:dyDescent="0.25">
      <c r="A48" t="s">
        <v>68</v>
      </c>
      <c r="B48" s="4">
        <v>46258</v>
      </c>
      <c r="C48" s="4" t="str">
        <f t="shared" si="0"/>
        <v>Aug</v>
      </c>
      <c r="D48" t="s">
        <v>1522</v>
      </c>
      <c r="E48" t="s">
        <v>1527</v>
      </c>
      <c r="F48" t="s">
        <v>1533</v>
      </c>
      <c r="G48" t="s">
        <v>1538</v>
      </c>
      <c r="H48" t="s">
        <v>1551</v>
      </c>
      <c r="I48">
        <v>2025</v>
      </c>
      <c r="J48" t="s">
        <v>1554</v>
      </c>
      <c r="K48" t="s">
        <v>1556</v>
      </c>
      <c r="L48">
        <v>741467</v>
      </c>
      <c r="M48">
        <v>726467</v>
      </c>
      <c r="N48">
        <v>15000</v>
      </c>
      <c r="O48">
        <v>41</v>
      </c>
      <c r="P48" t="str">
        <f t="shared" si="1"/>
        <v>adult</v>
      </c>
      <c r="Q48" t="s">
        <v>1558</v>
      </c>
      <c r="R48" t="s">
        <v>1562</v>
      </c>
      <c r="S48" t="s">
        <v>1567</v>
      </c>
      <c r="T48">
        <v>1961790</v>
      </c>
      <c r="U48">
        <v>1</v>
      </c>
      <c r="V48" t="s">
        <v>1576</v>
      </c>
      <c r="W48" t="s">
        <v>1594</v>
      </c>
      <c r="X48">
        <v>2.02</v>
      </c>
    </row>
    <row r="49" spans="1:24" x14ac:dyDescent="0.25">
      <c r="A49" t="s">
        <v>69</v>
      </c>
      <c r="B49" s="4">
        <v>46200</v>
      </c>
      <c r="C49" s="4" t="str">
        <f t="shared" si="0"/>
        <v>Jun</v>
      </c>
      <c r="D49" t="s">
        <v>1522</v>
      </c>
      <c r="E49" t="s">
        <v>1527</v>
      </c>
      <c r="F49" t="s">
        <v>1536</v>
      </c>
      <c r="G49" t="s">
        <v>1544</v>
      </c>
      <c r="H49" t="s">
        <v>4</v>
      </c>
      <c r="I49">
        <v>2026</v>
      </c>
      <c r="J49" t="s">
        <v>1554</v>
      </c>
      <c r="K49" t="s">
        <v>1556</v>
      </c>
      <c r="L49">
        <v>1412507</v>
      </c>
      <c r="M49">
        <v>1332822</v>
      </c>
      <c r="N49">
        <v>79685</v>
      </c>
      <c r="O49">
        <v>60</v>
      </c>
      <c r="P49" t="str">
        <f t="shared" si="1"/>
        <v>senior</v>
      </c>
      <c r="Q49" t="s">
        <v>1559</v>
      </c>
      <c r="R49" t="s">
        <v>1562</v>
      </c>
      <c r="S49" t="s">
        <v>1567</v>
      </c>
      <c r="T49">
        <v>445045</v>
      </c>
      <c r="U49">
        <v>4</v>
      </c>
      <c r="V49" t="s">
        <v>1582</v>
      </c>
      <c r="W49" t="s">
        <v>1592</v>
      </c>
      <c r="X49">
        <v>5.64</v>
      </c>
    </row>
    <row r="50" spans="1:24" x14ac:dyDescent="0.25">
      <c r="A50" t="s">
        <v>70</v>
      </c>
      <c r="B50" s="4">
        <v>45743</v>
      </c>
      <c r="C50" s="4" t="str">
        <f t="shared" si="0"/>
        <v>Mar</v>
      </c>
      <c r="D50" t="s">
        <v>1522</v>
      </c>
      <c r="E50" t="s">
        <v>1525</v>
      </c>
      <c r="F50" t="s">
        <v>1530</v>
      </c>
      <c r="G50" t="s">
        <v>1549</v>
      </c>
      <c r="H50" t="s">
        <v>1550</v>
      </c>
      <c r="I50">
        <v>2023</v>
      </c>
      <c r="J50" t="s">
        <v>1554</v>
      </c>
      <c r="K50" t="s">
        <v>1556</v>
      </c>
      <c r="L50">
        <v>1385354</v>
      </c>
      <c r="M50">
        <v>1243927</v>
      </c>
      <c r="N50">
        <v>141427</v>
      </c>
      <c r="O50">
        <v>42</v>
      </c>
      <c r="P50" t="str">
        <f t="shared" si="1"/>
        <v>adult</v>
      </c>
      <c r="Q50" t="s">
        <v>1558</v>
      </c>
      <c r="R50" t="s">
        <v>1561</v>
      </c>
      <c r="S50" t="s">
        <v>1567</v>
      </c>
      <c r="T50">
        <v>877832</v>
      </c>
      <c r="U50">
        <v>1</v>
      </c>
      <c r="V50" t="s">
        <v>1588</v>
      </c>
      <c r="W50" t="s">
        <v>1591</v>
      </c>
      <c r="X50">
        <v>10.210000000000001</v>
      </c>
    </row>
    <row r="51" spans="1:24" x14ac:dyDescent="0.25">
      <c r="A51" t="s">
        <v>71</v>
      </c>
      <c r="B51" s="4">
        <v>46194</v>
      </c>
      <c r="C51" s="4" t="str">
        <f t="shared" si="0"/>
        <v>Jun</v>
      </c>
      <c r="D51" t="s">
        <v>1522</v>
      </c>
      <c r="E51" t="s">
        <v>1525</v>
      </c>
      <c r="F51" t="s">
        <v>1532</v>
      </c>
      <c r="G51" t="s">
        <v>1542</v>
      </c>
      <c r="H51" t="s">
        <v>1551</v>
      </c>
      <c r="I51">
        <v>2023</v>
      </c>
      <c r="J51" t="s">
        <v>1554</v>
      </c>
      <c r="K51" t="s">
        <v>1556</v>
      </c>
      <c r="L51">
        <v>752876</v>
      </c>
      <c r="M51">
        <v>653684</v>
      </c>
      <c r="N51">
        <v>99192</v>
      </c>
      <c r="O51">
        <v>63</v>
      </c>
      <c r="P51" t="str">
        <f t="shared" si="1"/>
        <v>senior</v>
      </c>
      <c r="Q51" t="s">
        <v>1559</v>
      </c>
      <c r="R51" t="s">
        <v>1566</v>
      </c>
      <c r="S51" t="s">
        <v>1569</v>
      </c>
      <c r="T51">
        <v>1410011</v>
      </c>
      <c r="U51">
        <v>1</v>
      </c>
      <c r="V51" t="s">
        <v>1582</v>
      </c>
      <c r="W51" t="s">
        <v>1592</v>
      </c>
      <c r="X51">
        <v>13.18</v>
      </c>
    </row>
    <row r="52" spans="1:24" x14ac:dyDescent="0.25">
      <c r="A52" t="s">
        <v>72</v>
      </c>
      <c r="B52" s="4">
        <v>45995</v>
      </c>
      <c r="C52" s="4" t="str">
        <f t="shared" si="0"/>
        <v>Dec</v>
      </c>
      <c r="D52" t="s">
        <v>1522</v>
      </c>
      <c r="E52" t="s">
        <v>1527</v>
      </c>
      <c r="F52" t="s">
        <v>1530</v>
      </c>
      <c r="G52" t="s">
        <v>1545</v>
      </c>
      <c r="H52" t="s">
        <v>1551</v>
      </c>
      <c r="I52">
        <v>2024</v>
      </c>
      <c r="J52" t="s">
        <v>1554</v>
      </c>
      <c r="K52" t="s">
        <v>1556</v>
      </c>
      <c r="L52">
        <v>973380</v>
      </c>
      <c r="M52">
        <v>839815</v>
      </c>
      <c r="N52">
        <v>133565</v>
      </c>
      <c r="O52">
        <v>32</v>
      </c>
      <c r="P52" t="str">
        <f t="shared" si="1"/>
        <v>adult</v>
      </c>
      <c r="Q52" t="s">
        <v>1558</v>
      </c>
      <c r="R52" t="s">
        <v>1565</v>
      </c>
      <c r="S52" t="s">
        <v>1570</v>
      </c>
      <c r="T52">
        <v>1933475</v>
      </c>
      <c r="U52">
        <v>5</v>
      </c>
      <c r="V52" t="s">
        <v>1575</v>
      </c>
      <c r="W52" t="s">
        <v>1593</v>
      </c>
      <c r="X52">
        <v>13.72</v>
      </c>
    </row>
    <row r="53" spans="1:24" x14ac:dyDescent="0.25">
      <c r="A53" t="s">
        <v>73</v>
      </c>
      <c r="B53" s="4">
        <v>45729</v>
      </c>
      <c r="C53" s="4" t="str">
        <f t="shared" si="0"/>
        <v>Mar</v>
      </c>
      <c r="D53" t="s">
        <v>1522</v>
      </c>
      <c r="E53" t="s">
        <v>1523</v>
      </c>
      <c r="F53" t="s">
        <v>1532</v>
      </c>
      <c r="G53" t="s">
        <v>1543</v>
      </c>
      <c r="H53" t="s">
        <v>4</v>
      </c>
      <c r="I53">
        <v>2024</v>
      </c>
      <c r="J53" t="s">
        <v>1554</v>
      </c>
      <c r="K53" t="s">
        <v>1556</v>
      </c>
      <c r="L53">
        <v>1465347</v>
      </c>
      <c r="M53">
        <v>1201739</v>
      </c>
      <c r="N53">
        <v>263608</v>
      </c>
      <c r="O53">
        <v>37</v>
      </c>
      <c r="P53" t="str">
        <f t="shared" si="1"/>
        <v>adult</v>
      </c>
      <c r="Q53" t="s">
        <v>1558</v>
      </c>
      <c r="R53" t="s">
        <v>1562</v>
      </c>
      <c r="S53" t="s">
        <v>1570</v>
      </c>
      <c r="T53">
        <v>1345208</v>
      </c>
      <c r="U53">
        <v>4</v>
      </c>
      <c r="V53" t="s">
        <v>1588</v>
      </c>
      <c r="W53" t="s">
        <v>1591</v>
      </c>
      <c r="X53">
        <v>17.989999999999998</v>
      </c>
    </row>
    <row r="54" spans="1:24" x14ac:dyDescent="0.25">
      <c r="A54" t="s">
        <v>74</v>
      </c>
      <c r="B54" s="4">
        <v>46012</v>
      </c>
      <c r="C54" s="4" t="str">
        <f t="shared" si="0"/>
        <v>Dec</v>
      </c>
      <c r="D54" t="s">
        <v>1522</v>
      </c>
      <c r="E54" t="s">
        <v>1524</v>
      </c>
      <c r="F54" t="s">
        <v>1528</v>
      </c>
      <c r="G54" t="s">
        <v>1545</v>
      </c>
      <c r="H54" t="s">
        <v>1551</v>
      </c>
      <c r="I54">
        <v>2024</v>
      </c>
      <c r="J54" t="s">
        <v>1554</v>
      </c>
      <c r="K54" t="s">
        <v>1556</v>
      </c>
      <c r="L54">
        <v>1031684</v>
      </c>
      <c r="M54">
        <v>854803</v>
      </c>
      <c r="N54">
        <v>176881</v>
      </c>
      <c r="O54">
        <v>24</v>
      </c>
      <c r="P54" t="str">
        <f t="shared" si="1"/>
        <v>young</v>
      </c>
      <c r="Q54" t="s">
        <v>1559</v>
      </c>
      <c r="R54" t="s">
        <v>1563</v>
      </c>
      <c r="S54" t="s">
        <v>1567</v>
      </c>
      <c r="T54">
        <v>800967</v>
      </c>
      <c r="U54">
        <v>2</v>
      </c>
      <c r="V54" t="s">
        <v>1575</v>
      </c>
      <c r="W54" t="s">
        <v>1593</v>
      </c>
      <c r="X54">
        <v>17.14</v>
      </c>
    </row>
    <row r="55" spans="1:24" x14ac:dyDescent="0.25">
      <c r="A55" t="s">
        <v>75</v>
      </c>
      <c r="B55" s="4">
        <v>46162</v>
      </c>
      <c r="C55" s="4" t="str">
        <f t="shared" si="0"/>
        <v>May</v>
      </c>
      <c r="D55" t="s">
        <v>1522</v>
      </c>
      <c r="E55" t="s">
        <v>1523</v>
      </c>
      <c r="F55" t="s">
        <v>1535</v>
      </c>
      <c r="G55" t="s">
        <v>1546</v>
      </c>
      <c r="H55" t="s">
        <v>1551</v>
      </c>
      <c r="I55">
        <v>2025</v>
      </c>
      <c r="J55" t="s">
        <v>1554</v>
      </c>
      <c r="K55" t="s">
        <v>1556</v>
      </c>
      <c r="L55">
        <v>996086</v>
      </c>
      <c r="M55">
        <v>933675</v>
      </c>
      <c r="N55">
        <v>62411</v>
      </c>
      <c r="O55">
        <v>50</v>
      </c>
      <c r="P55" t="str">
        <f t="shared" si="1"/>
        <v>adult</v>
      </c>
      <c r="Q55" t="s">
        <v>1558</v>
      </c>
      <c r="R55" t="s">
        <v>1563</v>
      </c>
      <c r="S55" t="s">
        <v>1569</v>
      </c>
      <c r="T55">
        <v>927682</v>
      </c>
      <c r="U55">
        <v>3</v>
      </c>
      <c r="V55" t="s">
        <v>1590</v>
      </c>
      <c r="W55" t="s">
        <v>1592</v>
      </c>
      <c r="X55">
        <v>6.27</v>
      </c>
    </row>
    <row r="56" spans="1:24" x14ac:dyDescent="0.25">
      <c r="A56" t="s">
        <v>76</v>
      </c>
      <c r="B56" s="4">
        <v>45698</v>
      </c>
      <c r="C56" s="4" t="str">
        <f t="shared" si="0"/>
        <v>Feb</v>
      </c>
      <c r="D56" t="s">
        <v>1522</v>
      </c>
      <c r="E56" t="s">
        <v>1527</v>
      </c>
      <c r="F56" t="s">
        <v>1533</v>
      </c>
      <c r="G56" t="s">
        <v>1540</v>
      </c>
      <c r="H56" t="s">
        <v>1551</v>
      </c>
      <c r="I56">
        <v>2024</v>
      </c>
      <c r="J56" t="s">
        <v>1554</v>
      </c>
      <c r="K56" t="s">
        <v>1556</v>
      </c>
      <c r="L56">
        <v>976950</v>
      </c>
      <c r="M56">
        <v>886759</v>
      </c>
      <c r="N56">
        <v>90191</v>
      </c>
      <c r="O56">
        <v>63</v>
      </c>
      <c r="P56" t="str">
        <f t="shared" si="1"/>
        <v>senior</v>
      </c>
      <c r="Q56" t="s">
        <v>1559</v>
      </c>
      <c r="R56" t="s">
        <v>1564</v>
      </c>
      <c r="S56" t="s">
        <v>1569</v>
      </c>
      <c r="T56">
        <v>446163</v>
      </c>
      <c r="U56">
        <v>5</v>
      </c>
      <c r="V56" t="s">
        <v>1578</v>
      </c>
      <c r="W56" t="s">
        <v>1591</v>
      </c>
      <c r="X56">
        <v>9.23</v>
      </c>
    </row>
    <row r="57" spans="1:24" x14ac:dyDescent="0.25">
      <c r="A57" t="s">
        <v>77</v>
      </c>
      <c r="B57" s="4">
        <v>45715</v>
      </c>
      <c r="C57" s="4" t="str">
        <f t="shared" si="0"/>
        <v>Feb</v>
      </c>
      <c r="D57" t="s">
        <v>1522</v>
      </c>
      <c r="E57" t="s">
        <v>1527</v>
      </c>
      <c r="F57" t="s">
        <v>1537</v>
      </c>
      <c r="G57" t="s">
        <v>1539</v>
      </c>
      <c r="H57" t="s">
        <v>1550</v>
      </c>
      <c r="I57">
        <v>2022</v>
      </c>
      <c r="J57" t="s">
        <v>1554</v>
      </c>
      <c r="K57" t="s">
        <v>1557</v>
      </c>
      <c r="L57">
        <v>1183858</v>
      </c>
      <c r="M57">
        <v>987441</v>
      </c>
      <c r="N57">
        <v>196417</v>
      </c>
      <c r="O57">
        <v>35</v>
      </c>
      <c r="P57" t="str">
        <f t="shared" si="1"/>
        <v>adult</v>
      </c>
      <c r="Q57" t="s">
        <v>1558</v>
      </c>
      <c r="R57" t="s">
        <v>1564</v>
      </c>
      <c r="S57" t="s">
        <v>1568</v>
      </c>
      <c r="T57">
        <v>803857</v>
      </c>
      <c r="U57">
        <v>5</v>
      </c>
      <c r="V57" t="s">
        <v>1578</v>
      </c>
      <c r="W57" t="s">
        <v>1591</v>
      </c>
      <c r="X57">
        <v>16.59</v>
      </c>
    </row>
    <row r="58" spans="1:24" x14ac:dyDescent="0.25">
      <c r="A58" t="s">
        <v>78</v>
      </c>
      <c r="B58" s="4">
        <v>46114</v>
      </c>
      <c r="C58" s="4" t="str">
        <f t="shared" si="0"/>
        <v>Apr</v>
      </c>
      <c r="D58" t="s">
        <v>1522</v>
      </c>
      <c r="E58" t="s">
        <v>1524</v>
      </c>
      <c r="F58" t="s">
        <v>1534</v>
      </c>
      <c r="G58" t="s">
        <v>1538</v>
      </c>
      <c r="H58" t="s">
        <v>1551</v>
      </c>
      <c r="I58">
        <v>2023</v>
      </c>
      <c r="J58" t="s">
        <v>1554</v>
      </c>
      <c r="K58" t="s">
        <v>1556</v>
      </c>
      <c r="L58">
        <v>836728</v>
      </c>
      <c r="M58">
        <v>709064</v>
      </c>
      <c r="N58">
        <v>127664</v>
      </c>
      <c r="O58">
        <v>57</v>
      </c>
      <c r="P58" t="str">
        <f t="shared" si="1"/>
        <v>senior</v>
      </c>
      <c r="Q58" t="s">
        <v>1558</v>
      </c>
      <c r="R58" t="s">
        <v>1562</v>
      </c>
      <c r="S58" t="s">
        <v>1567</v>
      </c>
      <c r="T58">
        <v>307756</v>
      </c>
      <c r="U58">
        <v>2</v>
      </c>
      <c r="V58" t="s">
        <v>1580</v>
      </c>
      <c r="W58" t="s">
        <v>1592</v>
      </c>
      <c r="X58">
        <v>15.26</v>
      </c>
    </row>
    <row r="59" spans="1:24" x14ac:dyDescent="0.25">
      <c r="A59" t="s">
        <v>79</v>
      </c>
      <c r="B59" s="4">
        <v>46120</v>
      </c>
      <c r="C59" s="4" t="str">
        <f t="shared" si="0"/>
        <v>Apr</v>
      </c>
      <c r="D59" t="s">
        <v>1522</v>
      </c>
      <c r="E59" t="s">
        <v>1525</v>
      </c>
      <c r="F59" t="s">
        <v>1537</v>
      </c>
      <c r="G59" t="s">
        <v>1539</v>
      </c>
      <c r="H59" t="s">
        <v>1551</v>
      </c>
      <c r="I59">
        <v>2024</v>
      </c>
      <c r="J59" t="s">
        <v>1554</v>
      </c>
      <c r="K59" t="s">
        <v>1556</v>
      </c>
      <c r="L59">
        <v>858066</v>
      </c>
      <c r="M59">
        <v>814880</v>
      </c>
      <c r="N59">
        <v>43186</v>
      </c>
      <c r="O59">
        <v>59</v>
      </c>
      <c r="P59" t="str">
        <f t="shared" si="1"/>
        <v>senior</v>
      </c>
      <c r="Q59" t="s">
        <v>1559</v>
      </c>
      <c r="R59" t="s">
        <v>1564</v>
      </c>
      <c r="S59" t="s">
        <v>1569</v>
      </c>
      <c r="T59">
        <v>669354</v>
      </c>
      <c r="U59">
        <v>1</v>
      </c>
      <c r="V59" t="s">
        <v>1580</v>
      </c>
      <c r="W59" t="s">
        <v>1592</v>
      </c>
      <c r="X59">
        <v>5.03</v>
      </c>
    </row>
    <row r="60" spans="1:24" x14ac:dyDescent="0.25">
      <c r="A60" t="s">
        <v>80</v>
      </c>
      <c r="B60" s="4">
        <v>45761</v>
      </c>
      <c r="C60" s="4" t="str">
        <f t="shared" si="0"/>
        <v>Apr</v>
      </c>
      <c r="D60" t="s">
        <v>1522</v>
      </c>
      <c r="E60" t="s">
        <v>1523</v>
      </c>
      <c r="F60" t="s">
        <v>1532</v>
      </c>
      <c r="G60" t="s">
        <v>1548</v>
      </c>
      <c r="H60" t="s">
        <v>4</v>
      </c>
      <c r="I60">
        <v>2025</v>
      </c>
      <c r="J60" t="s">
        <v>1554</v>
      </c>
      <c r="K60" t="s">
        <v>1557</v>
      </c>
      <c r="L60">
        <v>1370168</v>
      </c>
      <c r="M60">
        <v>1182814</v>
      </c>
      <c r="N60">
        <v>187354</v>
      </c>
      <c r="O60">
        <v>27</v>
      </c>
      <c r="P60" t="str">
        <f t="shared" si="1"/>
        <v>young</v>
      </c>
      <c r="Q60" t="s">
        <v>1558</v>
      </c>
      <c r="R60" t="s">
        <v>1565</v>
      </c>
      <c r="S60" t="s">
        <v>1568</v>
      </c>
      <c r="T60">
        <v>654836</v>
      </c>
      <c r="U60">
        <v>5</v>
      </c>
      <c r="V60" t="s">
        <v>1573</v>
      </c>
      <c r="W60" t="s">
        <v>1592</v>
      </c>
      <c r="X60">
        <v>13.67</v>
      </c>
    </row>
    <row r="61" spans="1:24" x14ac:dyDescent="0.25">
      <c r="A61" t="s">
        <v>81</v>
      </c>
      <c r="B61" s="4">
        <v>45712</v>
      </c>
      <c r="C61" s="4" t="str">
        <f t="shared" si="0"/>
        <v>Feb</v>
      </c>
      <c r="D61" t="s">
        <v>1522</v>
      </c>
      <c r="E61" t="s">
        <v>1526</v>
      </c>
      <c r="F61" t="s">
        <v>1534</v>
      </c>
      <c r="G61" t="s">
        <v>1542</v>
      </c>
      <c r="H61" t="s">
        <v>1550</v>
      </c>
      <c r="I61">
        <v>2023</v>
      </c>
      <c r="J61" t="s">
        <v>1554</v>
      </c>
      <c r="K61" t="s">
        <v>1556</v>
      </c>
      <c r="L61">
        <v>1454299</v>
      </c>
      <c r="M61">
        <v>1188158</v>
      </c>
      <c r="N61">
        <v>266141</v>
      </c>
      <c r="O61">
        <v>63</v>
      </c>
      <c r="P61" t="str">
        <f t="shared" si="1"/>
        <v>senior</v>
      </c>
      <c r="Q61" t="s">
        <v>1558</v>
      </c>
      <c r="R61" t="s">
        <v>1566</v>
      </c>
      <c r="S61" t="s">
        <v>1568</v>
      </c>
      <c r="T61">
        <v>1439138</v>
      </c>
      <c r="U61">
        <v>3</v>
      </c>
      <c r="V61" t="s">
        <v>1578</v>
      </c>
      <c r="W61" t="s">
        <v>1591</v>
      </c>
      <c r="X61">
        <v>18.3</v>
      </c>
    </row>
    <row r="62" spans="1:24" x14ac:dyDescent="0.25">
      <c r="A62" t="s">
        <v>82</v>
      </c>
      <c r="B62" s="4">
        <v>45707</v>
      </c>
      <c r="C62" s="4" t="str">
        <f t="shared" si="0"/>
        <v>Feb</v>
      </c>
      <c r="D62" t="s">
        <v>1522</v>
      </c>
      <c r="E62" t="s">
        <v>1527</v>
      </c>
      <c r="F62" t="s">
        <v>1531</v>
      </c>
      <c r="G62" t="s">
        <v>1543</v>
      </c>
      <c r="H62" t="s">
        <v>1551</v>
      </c>
      <c r="I62">
        <v>2023</v>
      </c>
      <c r="J62" t="s">
        <v>1554</v>
      </c>
      <c r="K62" t="s">
        <v>1557</v>
      </c>
      <c r="L62">
        <v>948770</v>
      </c>
      <c r="M62">
        <v>821998</v>
      </c>
      <c r="N62">
        <v>126772</v>
      </c>
      <c r="O62">
        <v>54</v>
      </c>
      <c r="P62" t="str">
        <f t="shared" si="1"/>
        <v>senior</v>
      </c>
      <c r="Q62" t="s">
        <v>1559</v>
      </c>
      <c r="R62" t="s">
        <v>1565</v>
      </c>
      <c r="S62" t="s">
        <v>1569</v>
      </c>
      <c r="T62">
        <v>1586451</v>
      </c>
      <c r="U62">
        <v>4</v>
      </c>
      <c r="V62" t="s">
        <v>1578</v>
      </c>
      <c r="W62" t="s">
        <v>1591</v>
      </c>
      <c r="X62">
        <v>13.36</v>
      </c>
    </row>
    <row r="63" spans="1:24" x14ac:dyDescent="0.25">
      <c r="A63" t="s">
        <v>83</v>
      </c>
      <c r="B63" s="4">
        <v>45702</v>
      </c>
      <c r="C63" s="4" t="str">
        <f t="shared" si="0"/>
        <v>Feb</v>
      </c>
      <c r="D63" t="s">
        <v>1522</v>
      </c>
      <c r="E63" t="s">
        <v>1524</v>
      </c>
      <c r="F63" t="s">
        <v>1531</v>
      </c>
      <c r="G63" t="s">
        <v>1548</v>
      </c>
      <c r="H63" t="s">
        <v>4</v>
      </c>
      <c r="I63">
        <v>2025</v>
      </c>
      <c r="J63" t="s">
        <v>1554</v>
      </c>
      <c r="K63" t="s">
        <v>1556</v>
      </c>
      <c r="L63">
        <v>1536273</v>
      </c>
      <c r="M63">
        <v>1288038</v>
      </c>
      <c r="N63">
        <v>248235</v>
      </c>
      <c r="O63">
        <v>44</v>
      </c>
      <c r="P63" t="str">
        <f t="shared" si="1"/>
        <v>adult</v>
      </c>
      <c r="Q63" t="s">
        <v>1559</v>
      </c>
      <c r="R63" t="s">
        <v>1565</v>
      </c>
      <c r="S63" t="s">
        <v>1567</v>
      </c>
      <c r="T63">
        <v>655578</v>
      </c>
      <c r="U63">
        <v>5</v>
      </c>
      <c r="V63" t="s">
        <v>1578</v>
      </c>
      <c r="W63" t="s">
        <v>1591</v>
      </c>
      <c r="X63">
        <v>16.16</v>
      </c>
    </row>
    <row r="64" spans="1:24" x14ac:dyDescent="0.25">
      <c r="A64" t="s">
        <v>84</v>
      </c>
      <c r="B64" s="4">
        <v>45978</v>
      </c>
      <c r="C64" s="4" t="str">
        <f t="shared" si="0"/>
        <v>Nov</v>
      </c>
      <c r="D64" t="s">
        <v>1522</v>
      </c>
      <c r="E64" t="s">
        <v>1523</v>
      </c>
      <c r="F64" t="s">
        <v>1528</v>
      </c>
      <c r="G64" t="s">
        <v>1546</v>
      </c>
      <c r="H64" t="s">
        <v>1551</v>
      </c>
      <c r="I64">
        <v>2023</v>
      </c>
      <c r="J64" t="s">
        <v>1554</v>
      </c>
      <c r="K64" t="s">
        <v>1557</v>
      </c>
      <c r="L64">
        <v>808663</v>
      </c>
      <c r="M64">
        <v>756981</v>
      </c>
      <c r="N64">
        <v>51682</v>
      </c>
      <c r="O64">
        <v>60</v>
      </c>
      <c r="P64" t="str">
        <f t="shared" si="1"/>
        <v>senior</v>
      </c>
      <c r="Q64" t="s">
        <v>1559</v>
      </c>
      <c r="R64" t="s">
        <v>1564</v>
      </c>
      <c r="S64" t="s">
        <v>1568</v>
      </c>
      <c r="T64">
        <v>1173392</v>
      </c>
      <c r="U64">
        <v>3</v>
      </c>
      <c r="V64" t="s">
        <v>1583</v>
      </c>
      <c r="W64" t="s">
        <v>1593</v>
      </c>
      <c r="X64">
        <v>6.39</v>
      </c>
    </row>
    <row r="65" spans="1:24" x14ac:dyDescent="0.25">
      <c r="A65" t="s">
        <v>85</v>
      </c>
      <c r="B65" s="4">
        <v>46034</v>
      </c>
      <c r="C65" s="4" t="str">
        <f t="shared" si="0"/>
        <v>Jan</v>
      </c>
      <c r="D65" t="s">
        <v>1522</v>
      </c>
      <c r="E65" t="s">
        <v>1526</v>
      </c>
      <c r="F65" t="s">
        <v>1536</v>
      </c>
      <c r="G65" t="s">
        <v>1545</v>
      </c>
      <c r="H65" t="s">
        <v>4</v>
      </c>
      <c r="I65">
        <v>2025</v>
      </c>
      <c r="J65" t="s">
        <v>1554</v>
      </c>
      <c r="K65" t="s">
        <v>1556</v>
      </c>
      <c r="L65">
        <v>1370119</v>
      </c>
      <c r="M65">
        <v>1253820</v>
      </c>
      <c r="N65">
        <v>116299</v>
      </c>
      <c r="O65">
        <v>58</v>
      </c>
      <c r="P65" t="str">
        <f t="shared" si="1"/>
        <v>senior</v>
      </c>
      <c r="Q65" t="s">
        <v>1558</v>
      </c>
      <c r="R65" t="s">
        <v>1563</v>
      </c>
      <c r="S65" t="s">
        <v>1570</v>
      </c>
      <c r="T65">
        <v>1751919</v>
      </c>
      <c r="U65">
        <v>2</v>
      </c>
      <c r="V65" t="s">
        <v>1581</v>
      </c>
      <c r="W65" t="s">
        <v>1591</v>
      </c>
      <c r="X65">
        <v>8.49</v>
      </c>
    </row>
    <row r="66" spans="1:24" x14ac:dyDescent="0.25">
      <c r="A66" t="s">
        <v>86</v>
      </c>
      <c r="B66" s="4">
        <v>45829</v>
      </c>
      <c r="C66" s="4" t="str">
        <f t="shared" si="0"/>
        <v>Jun</v>
      </c>
      <c r="D66" t="s">
        <v>1522</v>
      </c>
      <c r="E66" t="s">
        <v>1525</v>
      </c>
      <c r="F66" t="s">
        <v>1532</v>
      </c>
      <c r="G66" t="s">
        <v>1543</v>
      </c>
      <c r="H66" t="s">
        <v>1552</v>
      </c>
      <c r="I66">
        <v>2023</v>
      </c>
      <c r="J66" t="s">
        <v>1555</v>
      </c>
      <c r="K66" t="s">
        <v>1556</v>
      </c>
      <c r="L66">
        <v>1968007</v>
      </c>
      <c r="M66">
        <v>1696927</v>
      </c>
      <c r="N66">
        <v>271080</v>
      </c>
      <c r="O66">
        <v>44</v>
      </c>
      <c r="P66" t="str">
        <f t="shared" si="1"/>
        <v>adult</v>
      </c>
      <c r="Q66" t="s">
        <v>1558</v>
      </c>
      <c r="R66" t="s">
        <v>1564</v>
      </c>
      <c r="S66" t="s">
        <v>1568</v>
      </c>
      <c r="T66">
        <v>1245119</v>
      </c>
      <c r="U66">
        <v>5</v>
      </c>
      <c r="V66" t="s">
        <v>1584</v>
      </c>
      <c r="W66" t="s">
        <v>1592</v>
      </c>
      <c r="X66">
        <v>13.77</v>
      </c>
    </row>
    <row r="67" spans="1:24" x14ac:dyDescent="0.25">
      <c r="A67" t="s">
        <v>87</v>
      </c>
      <c r="B67" s="4">
        <v>46072</v>
      </c>
      <c r="C67" s="4" t="str">
        <f t="shared" ref="C67:C130" si="2">TEXT(B67,"MMM")</f>
        <v>Feb</v>
      </c>
      <c r="D67" t="s">
        <v>1522</v>
      </c>
      <c r="E67" t="s">
        <v>1523</v>
      </c>
      <c r="F67" t="s">
        <v>1531</v>
      </c>
      <c r="G67" t="s">
        <v>1545</v>
      </c>
      <c r="H67" t="s">
        <v>1552</v>
      </c>
      <c r="I67">
        <v>2025</v>
      </c>
      <c r="J67" t="s">
        <v>1555</v>
      </c>
      <c r="K67" t="s">
        <v>1556</v>
      </c>
      <c r="L67">
        <v>1842278</v>
      </c>
      <c r="M67">
        <v>1684708</v>
      </c>
      <c r="N67">
        <v>157570</v>
      </c>
      <c r="O67">
        <v>54</v>
      </c>
      <c r="P67" t="str">
        <f t="shared" ref="P67:P130" si="3">IF(O67&gt;50,"senior",IF(O67&gt;30,"adult","young"))</f>
        <v>senior</v>
      </c>
      <c r="Q67" t="s">
        <v>1558</v>
      </c>
      <c r="R67" t="s">
        <v>1564</v>
      </c>
      <c r="S67" t="s">
        <v>1567</v>
      </c>
      <c r="T67">
        <v>2134200</v>
      </c>
      <c r="U67">
        <v>1</v>
      </c>
      <c r="V67" t="s">
        <v>1589</v>
      </c>
      <c r="W67" t="s">
        <v>1591</v>
      </c>
      <c r="X67">
        <v>8.5500000000000007</v>
      </c>
    </row>
    <row r="68" spans="1:24" x14ac:dyDescent="0.25">
      <c r="A68" t="s">
        <v>88</v>
      </c>
      <c r="B68" s="4">
        <v>46023</v>
      </c>
      <c r="C68" s="4" t="str">
        <f t="shared" si="2"/>
        <v>Jan</v>
      </c>
      <c r="D68" t="s">
        <v>1522</v>
      </c>
      <c r="E68" t="s">
        <v>1526</v>
      </c>
      <c r="F68" t="s">
        <v>1528</v>
      </c>
      <c r="G68" t="s">
        <v>1542</v>
      </c>
      <c r="H68" t="s">
        <v>4</v>
      </c>
      <c r="I68">
        <v>2024</v>
      </c>
      <c r="J68" t="s">
        <v>1554</v>
      </c>
      <c r="K68" t="s">
        <v>1556</v>
      </c>
      <c r="L68">
        <v>1738238</v>
      </c>
      <c r="M68">
        <v>1537933</v>
      </c>
      <c r="N68">
        <v>200305</v>
      </c>
      <c r="O68">
        <v>62</v>
      </c>
      <c r="P68" t="str">
        <f t="shared" si="3"/>
        <v>senior</v>
      </c>
      <c r="Q68" t="s">
        <v>1558</v>
      </c>
      <c r="R68" t="s">
        <v>1565</v>
      </c>
      <c r="S68" t="s">
        <v>1568</v>
      </c>
      <c r="T68">
        <v>201777</v>
      </c>
      <c r="U68">
        <v>1</v>
      </c>
      <c r="V68" t="s">
        <v>1581</v>
      </c>
      <c r="W68" t="s">
        <v>1591</v>
      </c>
      <c r="X68">
        <v>11.52</v>
      </c>
    </row>
    <row r="69" spans="1:24" x14ac:dyDescent="0.25">
      <c r="A69" t="s">
        <v>89</v>
      </c>
      <c r="B69" s="4">
        <v>45937</v>
      </c>
      <c r="C69" s="4" t="str">
        <f t="shared" si="2"/>
        <v>Oct</v>
      </c>
      <c r="D69" t="s">
        <v>1522</v>
      </c>
      <c r="E69" t="s">
        <v>1525</v>
      </c>
      <c r="F69" t="s">
        <v>1532</v>
      </c>
      <c r="G69" t="s">
        <v>1543</v>
      </c>
      <c r="H69" t="s">
        <v>4</v>
      </c>
      <c r="I69">
        <v>2022</v>
      </c>
      <c r="J69" t="s">
        <v>1554</v>
      </c>
      <c r="K69" t="s">
        <v>1556</v>
      </c>
      <c r="L69">
        <v>1229028</v>
      </c>
      <c r="M69">
        <v>1036780</v>
      </c>
      <c r="N69">
        <v>192248</v>
      </c>
      <c r="O69">
        <v>35</v>
      </c>
      <c r="P69" t="str">
        <f t="shared" si="3"/>
        <v>adult</v>
      </c>
      <c r="Q69" t="s">
        <v>1558</v>
      </c>
      <c r="R69" t="s">
        <v>1563</v>
      </c>
      <c r="S69" t="s">
        <v>1567</v>
      </c>
      <c r="T69">
        <v>212946</v>
      </c>
      <c r="U69">
        <v>3</v>
      </c>
      <c r="V69" t="s">
        <v>1574</v>
      </c>
      <c r="W69" t="s">
        <v>1593</v>
      </c>
      <c r="X69">
        <v>15.64</v>
      </c>
    </row>
    <row r="70" spans="1:24" x14ac:dyDescent="0.25">
      <c r="A70" t="s">
        <v>90</v>
      </c>
      <c r="B70" s="4">
        <v>45794</v>
      </c>
      <c r="C70" s="4" t="str">
        <f t="shared" si="2"/>
        <v>May</v>
      </c>
      <c r="D70" t="s">
        <v>1522</v>
      </c>
      <c r="E70" t="s">
        <v>1526</v>
      </c>
      <c r="F70" t="s">
        <v>1536</v>
      </c>
      <c r="G70" t="s">
        <v>1542</v>
      </c>
      <c r="H70" t="s">
        <v>1550</v>
      </c>
      <c r="I70">
        <v>2025</v>
      </c>
      <c r="J70" t="s">
        <v>1554</v>
      </c>
      <c r="K70" t="s">
        <v>1557</v>
      </c>
      <c r="L70">
        <v>1323148</v>
      </c>
      <c r="M70">
        <v>1166555</v>
      </c>
      <c r="N70">
        <v>156593</v>
      </c>
      <c r="O70">
        <v>45</v>
      </c>
      <c r="P70" t="str">
        <f t="shared" si="3"/>
        <v>adult</v>
      </c>
      <c r="Q70" t="s">
        <v>1559</v>
      </c>
      <c r="R70" t="s">
        <v>1565</v>
      </c>
      <c r="S70" t="s">
        <v>1568</v>
      </c>
      <c r="T70">
        <v>514228</v>
      </c>
      <c r="U70">
        <v>1</v>
      </c>
      <c r="V70" t="s">
        <v>1572</v>
      </c>
      <c r="W70" t="s">
        <v>1592</v>
      </c>
      <c r="X70">
        <v>11.83</v>
      </c>
    </row>
    <row r="71" spans="1:24" x14ac:dyDescent="0.25">
      <c r="A71" t="s">
        <v>91</v>
      </c>
      <c r="B71" s="4">
        <v>45827</v>
      </c>
      <c r="C71" s="4" t="str">
        <f t="shared" si="2"/>
        <v>Jun</v>
      </c>
      <c r="D71" t="s">
        <v>1522</v>
      </c>
      <c r="E71" t="s">
        <v>1523</v>
      </c>
      <c r="F71" t="s">
        <v>1530</v>
      </c>
      <c r="G71" t="s">
        <v>1540</v>
      </c>
      <c r="H71" t="s">
        <v>4</v>
      </c>
      <c r="I71">
        <v>2022</v>
      </c>
      <c r="J71" t="s">
        <v>1554</v>
      </c>
      <c r="K71" t="s">
        <v>1557</v>
      </c>
      <c r="L71">
        <v>1457940</v>
      </c>
      <c r="M71">
        <v>1368493</v>
      </c>
      <c r="N71">
        <v>89447</v>
      </c>
      <c r="O71">
        <v>62</v>
      </c>
      <c r="P71" t="str">
        <f t="shared" si="3"/>
        <v>senior</v>
      </c>
      <c r="Q71" t="s">
        <v>1558</v>
      </c>
      <c r="R71" t="s">
        <v>1566</v>
      </c>
      <c r="S71" t="s">
        <v>1567</v>
      </c>
      <c r="T71">
        <v>28691</v>
      </c>
      <c r="U71">
        <v>2</v>
      </c>
      <c r="V71" t="s">
        <v>1584</v>
      </c>
      <c r="W71" t="s">
        <v>1592</v>
      </c>
      <c r="X71">
        <v>6.14</v>
      </c>
    </row>
    <row r="72" spans="1:24" x14ac:dyDescent="0.25">
      <c r="A72" t="s">
        <v>92</v>
      </c>
      <c r="B72" s="4">
        <v>46017</v>
      </c>
      <c r="C72" s="4" t="str">
        <f t="shared" si="2"/>
        <v>Dec</v>
      </c>
      <c r="D72" t="s">
        <v>1522</v>
      </c>
      <c r="E72" t="s">
        <v>1523</v>
      </c>
      <c r="F72" t="s">
        <v>1528</v>
      </c>
      <c r="G72" t="s">
        <v>1538</v>
      </c>
      <c r="H72" t="s">
        <v>1551</v>
      </c>
      <c r="I72">
        <v>2025</v>
      </c>
      <c r="J72" t="s">
        <v>1554</v>
      </c>
      <c r="K72" t="s">
        <v>1556</v>
      </c>
      <c r="L72">
        <v>843379</v>
      </c>
      <c r="M72">
        <v>745662</v>
      </c>
      <c r="N72">
        <v>97717</v>
      </c>
      <c r="O72">
        <v>30</v>
      </c>
      <c r="P72" t="str">
        <f t="shared" si="3"/>
        <v>young</v>
      </c>
      <c r="Q72" t="s">
        <v>1559</v>
      </c>
      <c r="R72" t="s">
        <v>1563</v>
      </c>
      <c r="S72" t="s">
        <v>1568</v>
      </c>
      <c r="T72">
        <v>1155670</v>
      </c>
      <c r="U72">
        <v>5</v>
      </c>
      <c r="V72" t="s">
        <v>1575</v>
      </c>
      <c r="W72" t="s">
        <v>1593</v>
      </c>
      <c r="X72">
        <v>11.59</v>
      </c>
    </row>
    <row r="73" spans="1:24" x14ac:dyDescent="0.25">
      <c r="A73" t="s">
        <v>93</v>
      </c>
      <c r="B73" s="4">
        <v>45843</v>
      </c>
      <c r="C73" s="4" t="str">
        <f t="shared" si="2"/>
        <v>Jul</v>
      </c>
      <c r="D73" t="s">
        <v>1522</v>
      </c>
      <c r="E73" t="s">
        <v>1526</v>
      </c>
      <c r="F73" t="s">
        <v>1533</v>
      </c>
      <c r="G73" t="s">
        <v>1546</v>
      </c>
      <c r="H73" t="s">
        <v>1551</v>
      </c>
      <c r="I73">
        <v>2026</v>
      </c>
      <c r="J73" t="s">
        <v>1554</v>
      </c>
      <c r="K73" t="s">
        <v>1556</v>
      </c>
      <c r="L73">
        <v>926000</v>
      </c>
      <c r="M73">
        <v>751799</v>
      </c>
      <c r="N73">
        <v>174201</v>
      </c>
      <c r="O73">
        <v>32</v>
      </c>
      <c r="P73" t="str">
        <f t="shared" si="3"/>
        <v>adult</v>
      </c>
      <c r="Q73" t="s">
        <v>1558</v>
      </c>
      <c r="R73" t="s">
        <v>1561</v>
      </c>
      <c r="S73" t="s">
        <v>1567</v>
      </c>
      <c r="T73">
        <v>1750376</v>
      </c>
      <c r="U73">
        <v>4</v>
      </c>
      <c r="V73" t="s">
        <v>1579</v>
      </c>
      <c r="W73" t="s">
        <v>1594</v>
      </c>
      <c r="X73">
        <v>18.809999999999999</v>
      </c>
    </row>
    <row r="74" spans="1:24" x14ac:dyDescent="0.25">
      <c r="A74" t="s">
        <v>94</v>
      </c>
      <c r="B74" s="4">
        <v>45664</v>
      </c>
      <c r="C74" s="4" t="str">
        <f t="shared" si="2"/>
        <v>Jan</v>
      </c>
      <c r="D74" t="s">
        <v>1522</v>
      </c>
      <c r="E74" t="s">
        <v>1527</v>
      </c>
      <c r="F74" t="s">
        <v>1529</v>
      </c>
      <c r="G74" t="s">
        <v>1540</v>
      </c>
      <c r="H74" t="s">
        <v>1550</v>
      </c>
      <c r="I74">
        <v>2023</v>
      </c>
      <c r="J74" t="s">
        <v>1554</v>
      </c>
      <c r="K74" t="s">
        <v>1557</v>
      </c>
      <c r="L74">
        <v>1576570</v>
      </c>
      <c r="M74">
        <v>1298632</v>
      </c>
      <c r="N74">
        <v>277938</v>
      </c>
      <c r="O74">
        <v>40</v>
      </c>
      <c r="P74" t="str">
        <f t="shared" si="3"/>
        <v>adult</v>
      </c>
      <c r="Q74" t="s">
        <v>1559</v>
      </c>
      <c r="R74" t="s">
        <v>1564</v>
      </c>
      <c r="S74" t="s">
        <v>1567</v>
      </c>
      <c r="T74">
        <v>103796</v>
      </c>
      <c r="U74">
        <v>5</v>
      </c>
      <c r="V74" t="s">
        <v>1571</v>
      </c>
      <c r="W74" t="s">
        <v>1591</v>
      </c>
      <c r="X74">
        <v>17.63</v>
      </c>
    </row>
    <row r="75" spans="1:24" x14ac:dyDescent="0.25">
      <c r="A75" t="s">
        <v>95</v>
      </c>
      <c r="B75" s="4">
        <v>46227</v>
      </c>
      <c r="C75" s="4" t="str">
        <f t="shared" si="2"/>
        <v>Jul</v>
      </c>
      <c r="D75" t="s">
        <v>1522</v>
      </c>
      <c r="E75" t="s">
        <v>1525</v>
      </c>
      <c r="F75" t="s">
        <v>1528</v>
      </c>
      <c r="G75" t="s">
        <v>1542</v>
      </c>
      <c r="H75" t="s">
        <v>1552</v>
      </c>
      <c r="I75">
        <v>2024</v>
      </c>
      <c r="J75" t="s">
        <v>1555</v>
      </c>
      <c r="K75" t="s">
        <v>1556</v>
      </c>
      <c r="L75">
        <v>2008717</v>
      </c>
      <c r="M75">
        <v>1753206</v>
      </c>
      <c r="N75">
        <v>255511</v>
      </c>
      <c r="O75">
        <v>65</v>
      </c>
      <c r="P75" t="str">
        <f t="shared" si="3"/>
        <v>senior</v>
      </c>
      <c r="Q75" t="s">
        <v>1559</v>
      </c>
      <c r="R75" t="s">
        <v>1564</v>
      </c>
      <c r="S75" t="s">
        <v>1570</v>
      </c>
      <c r="T75">
        <v>1864825</v>
      </c>
      <c r="U75">
        <v>2</v>
      </c>
      <c r="V75" t="s">
        <v>1587</v>
      </c>
      <c r="W75" t="s">
        <v>1594</v>
      </c>
      <c r="X75">
        <v>12.72</v>
      </c>
    </row>
    <row r="76" spans="1:24" x14ac:dyDescent="0.25">
      <c r="A76" t="s">
        <v>96</v>
      </c>
      <c r="B76" s="4">
        <v>46029</v>
      </c>
      <c r="C76" s="4" t="str">
        <f t="shared" si="2"/>
        <v>Jan</v>
      </c>
      <c r="D76" t="s">
        <v>1522</v>
      </c>
      <c r="E76" t="s">
        <v>1526</v>
      </c>
      <c r="F76" t="s">
        <v>1537</v>
      </c>
      <c r="G76" t="s">
        <v>1549</v>
      </c>
      <c r="H76" t="s">
        <v>1550</v>
      </c>
      <c r="I76">
        <v>2025</v>
      </c>
      <c r="J76" t="s">
        <v>1554</v>
      </c>
      <c r="K76" t="s">
        <v>1557</v>
      </c>
      <c r="L76">
        <v>1342726</v>
      </c>
      <c r="M76">
        <v>1213442</v>
      </c>
      <c r="N76">
        <v>129284</v>
      </c>
      <c r="O76">
        <v>25</v>
      </c>
      <c r="P76" t="str">
        <f t="shared" si="3"/>
        <v>young</v>
      </c>
      <c r="Q76" t="s">
        <v>1558</v>
      </c>
      <c r="R76" t="s">
        <v>1562</v>
      </c>
      <c r="S76" t="s">
        <v>1567</v>
      </c>
      <c r="T76">
        <v>1067667</v>
      </c>
      <c r="U76">
        <v>3</v>
      </c>
      <c r="V76" t="s">
        <v>1581</v>
      </c>
      <c r="W76" t="s">
        <v>1591</v>
      </c>
      <c r="X76">
        <v>9.6300000000000008</v>
      </c>
    </row>
    <row r="77" spans="1:24" x14ac:dyDescent="0.25">
      <c r="A77" t="s">
        <v>97</v>
      </c>
      <c r="B77" s="4">
        <v>45972</v>
      </c>
      <c r="C77" s="4" t="str">
        <f t="shared" si="2"/>
        <v>Nov</v>
      </c>
      <c r="D77" t="s">
        <v>1522</v>
      </c>
      <c r="E77" t="s">
        <v>1527</v>
      </c>
      <c r="F77" t="s">
        <v>1533</v>
      </c>
      <c r="G77" t="s">
        <v>1548</v>
      </c>
      <c r="H77" t="s">
        <v>1551</v>
      </c>
      <c r="I77">
        <v>2024</v>
      </c>
      <c r="J77" t="s">
        <v>1554</v>
      </c>
      <c r="K77" t="s">
        <v>1556</v>
      </c>
      <c r="L77">
        <v>1085682</v>
      </c>
      <c r="M77">
        <v>951836</v>
      </c>
      <c r="N77">
        <v>133846</v>
      </c>
      <c r="O77">
        <v>26</v>
      </c>
      <c r="P77" t="str">
        <f t="shared" si="3"/>
        <v>young</v>
      </c>
      <c r="Q77" t="s">
        <v>1559</v>
      </c>
      <c r="R77" t="s">
        <v>1563</v>
      </c>
      <c r="S77" t="s">
        <v>1570</v>
      </c>
      <c r="T77">
        <v>1157811</v>
      </c>
      <c r="U77">
        <v>5</v>
      </c>
      <c r="V77" t="s">
        <v>1583</v>
      </c>
      <c r="W77" t="s">
        <v>1593</v>
      </c>
      <c r="X77">
        <v>12.33</v>
      </c>
    </row>
    <row r="78" spans="1:24" x14ac:dyDescent="0.25">
      <c r="A78" t="s">
        <v>98</v>
      </c>
      <c r="B78" s="4">
        <v>46182</v>
      </c>
      <c r="C78" s="4" t="str">
        <f t="shared" si="2"/>
        <v>Jun</v>
      </c>
      <c r="D78" t="s">
        <v>1522</v>
      </c>
      <c r="E78" t="s">
        <v>1524</v>
      </c>
      <c r="F78" t="s">
        <v>1537</v>
      </c>
      <c r="G78" t="s">
        <v>1538</v>
      </c>
      <c r="H78" t="s">
        <v>4</v>
      </c>
      <c r="I78">
        <v>2025</v>
      </c>
      <c r="J78" t="s">
        <v>1554</v>
      </c>
      <c r="K78" t="s">
        <v>1557</v>
      </c>
      <c r="L78">
        <v>1462577</v>
      </c>
      <c r="M78">
        <v>1378728</v>
      </c>
      <c r="N78">
        <v>83849</v>
      </c>
      <c r="O78">
        <v>49</v>
      </c>
      <c r="P78" t="str">
        <f t="shared" si="3"/>
        <v>adult</v>
      </c>
      <c r="Q78" t="s">
        <v>1558</v>
      </c>
      <c r="R78" t="s">
        <v>1563</v>
      </c>
      <c r="S78" t="s">
        <v>1569</v>
      </c>
      <c r="T78">
        <v>758956</v>
      </c>
      <c r="U78">
        <v>4</v>
      </c>
      <c r="V78" t="s">
        <v>1582</v>
      </c>
      <c r="W78" t="s">
        <v>1592</v>
      </c>
      <c r="X78">
        <v>5.73</v>
      </c>
    </row>
    <row r="79" spans="1:24" x14ac:dyDescent="0.25">
      <c r="A79" t="s">
        <v>99</v>
      </c>
      <c r="B79" s="4">
        <v>46131</v>
      </c>
      <c r="C79" s="4" t="str">
        <f t="shared" si="2"/>
        <v>Apr</v>
      </c>
      <c r="D79" t="s">
        <v>1522</v>
      </c>
      <c r="E79" t="s">
        <v>1527</v>
      </c>
      <c r="F79" t="s">
        <v>1535</v>
      </c>
      <c r="G79" t="s">
        <v>1538</v>
      </c>
      <c r="H79" t="s">
        <v>1552</v>
      </c>
      <c r="I79">
        <v>2022</v>
      </c>
      <c r="J79" t="s">
        <v>1555</v>
      </c>
      <c r="K79" t="s">
        <v>1556</v>
      </c>
      <c r="L79">
        <v>1829609</v>
      </c>
      <c r="M79">
        <v>1606835</v>
      </c>
      <c r="N79">
        <v>222774</v>
      </c>
      <c r="O79">
        <v>31</v>
      </c>
      <c r="P79" t="str">
        <f t="shared" si="3"/>
        <v>adult</v>
      </c>
      <c r="Q79" t="s">
        <v>1558</v>
      </c>
      <c r="R79" t="s">
        <v>1566</v>
      </c>
      <c r="S79" t="s">
        <v>1568</v>
      </c>
      <c r="T79">
        <v>242022</v>
      </c>
      <c r="U79">
        <v>1</v>
      </c>
      <c r="V79" t="s">
        <v>1580</v>
      </c>
      <c r="W79" t="s">
        <v>1592</v>
      </c>
      <c r="X79">
        <v>12.18</v>
      </c>
    </row>
    <row r="80" spans="1:24" x14ac:dyDescent="0.25">
      <c r="A80" t="s">
        <v>100</v>
      </c>
      <c r="B80" s="4">
        <v>45688</v>
      </c>
      <c r="C80" s="4" t="str">
        <f t="shared" si="2"/>
        <v>Jan</v>
      </c>
      <c r="D80" t="s">
        <v>1522</v>
      </c>
      <c r="E80" t="s">
        <v>1527</v>
      </c>
      <c r="F80" t="s">
        <v>1535</v>
      </c>
      <c r="G80" t="s">
        <v>1542</v>
      </c>
      <c r="H80" t="s">
        <v>4</v>
      </c>
      <c r="I80">
        <v>2024</v>
      </c>
      <c r="J80" t="s">
        <v>1554</v>
      </c>
      <c r="K80" t="s">
        <v>1556</v>
      </c>
      <c r="L80">
        <v>1488358</v>
      </c>
      <c r="M80">
        <v>1247104</v>
      </c>
      <c r="N80">
        <v>241254</v>
      </c>
      <c r="O80">
        <v>64</v>
      </c>
      <c r="P80" t="str">
        <f t="shared" si="3"/>
        <v>senior</v>
      </c>
      <c r="Q80" t="s">
        <v>1558</v>
      </c>
      <c r="R80" t="s">
        <v>1562</v>
      </c>
      <c r="S80" t="s">
        <v>1567</v>
      </c>
      <c r="T80">
        <v>1867305</v>
      </c>
      <c r="U80">
        <v>5</v>
      </c>
      <c r="V80" t="s">
        <v>1571</v>
      </c>
      <c r="W80" t="s">
        <v>1591</v>
      </c>
      <c r="X80">
        <v>16.21</v>
      </c>
    </row>
    <row r="81" spans="1:24" x14ac:dyDescent="0.25">
      <c r="A81" t="s">
        <v>101</v>
      </c>
      <c r="B81" s="4">
        <v>46225</v>
      </c>
      <c r="C81" s="4" t="str">
        <f t="shared" si="2"/>
        <v>Jul</v>
      </c>
      <c r="D81" t="s">
        <v>1522</v>
      </c>
      <c r="E81" t="s">
        <v>1523</v>
      </c>
      <c r="F81" t="s">
        <v>1531</v>
      </c>
      <c r="G81" t="s">
        <v>1546</v>
      </c>
      <c r="H81" t="s">
        <v>4</v>
      </c>
      <c r="I81">
        <v>2024</v>
      </c>
      <c r="J81" t="s">
        <v>1554</v>
      </c>
      <c r="K81" t="s">
        <v>1557</v>
      </c>
      <c r="L81">
        <v>1846805</v>
      </c>
      <c r="M81">
        <v>1578784</v>
      </c>
      <c r="N81">
        <v>268021</v>
      </c>
      <c r="O81">
        <v>33</v>
      </c>
      <c r="P81" t="str">
        <f t="shared" si="3"/>
        <v>adult</v>
      </c>
      <c r="Q81" t="s">
        <v>1558</v>
      </c>
      <c r="R81" t="s">
        <v>1561</v>
      </c>
      <c r="S81" t="s">
        <v>1570</v>
      </c>
      <c r="T81">
        <v>1195400</v>
      </c>
      <c r="U81">
        <v>2</v>
      </c>
      <c r="V81" t="s">
        <v>1587</v>
      </c>
      <c r="W81" t="s">
        <v>1594</v>
      </c>
      <c r="X81">
        <v>14.51</v>
      </c>
    </row>
    <row r="82" spans="1:24" x14ac:dyDescent="0.25">
      <c r="A82" t="s">
        <v>102</v>
      </c>
      <c r="B82" s="4">
        <v>45982</v>
      </c>
      <c r="C82" s="4" t="str">
        <f t="shared" si="2"/>
        <v>Nov</v>
      </c>
      <c r="D82" t="s">
        <v>1522</v>
      </c>
      <c r="E82" t="s">
        <v>1526</v>
      </c>
      <c r="F82" t="s">
        <v>1535</v>
      </c>
      <c r="G82" t="s">
        <v>1549</v>
      </c>
      <c r="H82" t="s">
        <v>4</v>
      </c>
      <c r="I82">
        <v>2025</v>
      </c>
      <c r="J82" t="s">
        <v>1554</v>
      </c>
      <c r="K82" t="s">
        <v>1556</v>
      </c>
      <c r="L82">
        <v>1554899</v>
      </c>
      <c r="M82">
        <v>1383972</v>
      </c>
      <c r="N82">
        <v>170927</v>
      </c>
      <c r="O82">
        <v>65</v>
      </c>
      <c r="P82" t="str">
        <f t="shared" si="3"/>
        <v>senior</v>
      </c>
      <c r="Q82" t="s">
        <v>1560</v>
      </c>
      <c r="R82" t="s">
        <v>1566</v>
      </c>
      <c r="S82" t="s">
        <v>1567</v>
      </c>
      <c r="T82">
        <v>1563027</v>
      </c>
      <c r="U82">
        <v>2</v>
      </c>
      <c r="V82" t="s">
        <v>1583</v>
      </c>
      <c r="W82" t="s">
        <v>1593</v>
      </c>
      <c r="X82">
        <v>10.99</v>
      </c>
    </row>
    <row r="83" spans="1:24" x14ac:dyDescent="0.25">
      <c r="A83" t="s">
        <v>103</v>
      </c>
      <c r="B83" s="4">
        <v>45839</v>
      </c>
      <c r="C83" s="4" t="str">
        <f t="shared" si="2"/>
        <v>Jul</v>
      </c>
      <c r="D83" t="s">
        <v>1522</v>
      </c>
      <c r="E83" t="s">
        <v>1523</v>
      </c>
      <c r="F83" t="s">
        <v>1528</v>
      </c>
      <c r="G83" t="s">
        <v>1549</v>
      </c>
      <c r="H83" t="s">
        <v>1550</v>
      </c>
      <c r="I83">
        <v>2025</v>
      </c>
      <c r="J83" t="s">
        <v>1554</v>
      </c>
      <c r="K83" t="s">
        <v>1556</v>
      </c>
      <c r="L83">
        <v>1190602</v>
      </c>
      <c r="M83">
        <v>1066695</v>
      </c>
      <c r="N83">
        <v>123907</v>
      </c>
      <c r="O83">
        <v>23</v>
      </c>
      <c r="P83" t="str">
        <f t="shared" si="3"/>
        <v>young</v>
      </c>
      <c r="Q83" t="s">
        <v>1558</v>
      </c>
      <c r="R83" t="s">
        <v>1562</v>
      </c>
      <c r="S83" t="s">
        <v>1570</v>
      </c>
      <c r="T83">
        <v>696260</v>
      </c>
      <c r="U83">
        <v>3</v>
      </c>
      <c r="V83" t="s">
        <v>1579</v>
      </c>
      <c r="W83" t="s">
        <v>1594</v>
      </c>
      <c r="X83">
        <v>10.41</v>
      </c>
    </row>
    <row r="84" spans="1:24" x14ac:dyDescent="0.25">
      <c r="A84" t="s">
        <v>104</v>
      </c>
      <c r="B84" s="4">
        <v>46051</v>
      </c>
      <c r="C84" s="4" t="str">
        <f t="shared" si="2"/>
        <v>Jan</v>
      </c>
      <c r="D84" t="s">
        <v>1522</v>
      </c>
      <c r="E84" t="s">
        <v>1526</v>
      </c>
      <c r="F84" t="s">
        <v>1530</v>
      </c>
      <c r="G84" t="s">
        <v>1540</v>
      </c>
      <c r="H84" t="s">
        <v>1551</v>
      </c>
      <c r="I84">
        <v>2025</v>
      </c>
      <c r="J84" t="s">
        <v>1554</v>
      </c>
      <c r="K84" t="s">
        <v>1556</v>
      </c>
      <c r="L84">
        <v>933418</v>
      </c>
      <c r="M84">
        <v>913950</v>
      </c>
      <c r="N84">
        <v>19468</v>
      </c>
      <c r="O84">
        <v>25</v>
      </c>
      <c r="P84" t="str">
        <f t="shared" si="3"/>
        <v>young</v>
      </c>
      <c r="Q84" t="s">
        <v>1559</v>
      </c>
      <c r="R84" t="s">
        <v>1565</v>
      </c>
      <c r="S84" t="s">
        <v>1568</v>
      </c>
      <c r="T84">
        <v>1769886</v>
      </c>
      <c r="U84">
        <v>2</v>
      </c>
      <c r="V84" t="s">
        <v>1581</v>
      </c>
      <c r="W84" t="s">
        <v>1591</v>
      </c>
      <c r="X84">
        <v>2.09</v>
      </c>
    </row>
    <row r="85" spans="1:24" x14ac:dyDescent="0.25">
      <c r="A85" t="s">
        <v>105</v>
      </c>
      <c r="B85" s="4">
        <v>45695</v>
      </c>
      <c r="C85" s="4" t="str">
        <f t="shared" si="2"/>
        <v>Feb</v>
      </c>
      <c r="D85" t="s">
        <v>1522</v>
      </c>
      <c r="E85" t="s">
        <v>1527</v>
      </c>
      <c r="F85" t="s">
        <v>1532</v>
      </c>
      <c r="G85" t="s">
        <v>1544</v>
      </c>
      <c r="H85" t="s">
        <v>4</v>
      </c>
      <c r="I85">
        <v>2026</v>
      </c>
      <c r="J85" t="s">
        <v>1554</v>
      </c>
      <c r="K85" t="s">
        <v>1556</v>
      </c>
      <c r="L85">
        <v>1627839</v>
      </c>
      <c r="M85">
        <v>1406672</v>
      </c>
      <c r="N85">
        <v>221167</v>
      </c>
      <c r="O85">
        <v>39</v>
      </c>
      <c r="P85" t="str">
        <f t="shared" si="3"/>
        <v>adult</v>
      </c>
      <c r="Q85" t="s">
        <v>1558</v>
      </c>
      <c r="R85" t="s">
        <v>1561</v>
      </c>
      <c r="S85" t="s">
        <v>1570</v>
      </c>
      <c r="T85">
        <v>641466</v>
      </c>
      <c r="U85">
        <v>5</v>
      </c>
      <c r="V85" t="s">
        <v>1578</v>
      </c>
      <c r="W85" t="s">
        <v>1591</v>
      </c>
      <c r="X85">
        <v>13.59</v>
      </c>
    </row>
    <row r="86" spans="1:24" x14ac:dyDescent="0.25">
      <c r="A86" t="s">
        <v>106</v>
      </c>
      <c r="B86" s="4">
        <v>45837</v>
      </c>
      <c r="C86" s="4" t="str">
        <f t="shared" si="2"/>
        <v>Jun</v>
      </c>
      <c r="D86" t="s">
        <v>1522</v>
      </c>
      <c r="E86" t="s">
        <v>1526</v>
      </c>
      <c r="F86" t="s">
        <v>1528</v>
      </c>
      <c r="G86" t="s">
        <v>1543</v>
      </c>
      <c r="H86" t="s">
        <v>4</v>
      </c>
      <c r="I86">
        <v>2026</v>
      </c>
      <c r="J86" t="s">
        <v>1554</v>
      </c>
      <c r="K86" t="s">
        <v>1556</v>
      </c>
      <c r="L86">
        <v>1284984</v>
      </c>
      <c r="M86">
        <v>1076221</v>
      </c>
      <c r="N86">
        <v>208763</v>
      </c>
      <c r="O86">
        <v>27</v>
      </c>
      <c r="P86" t="str">
        <f t="shared" si="3"/>
        <v>young</v>
      </c>
      <c r="Q86" t="s">
        <v>1559</v>
      </c>
      <c r="R86" t="s">
        <v>1563</v>
      </c>
      <c r="S86" t="s">
        <v>1569</v>
      </c>
      <c r="T86">
        <v>1072811</v>
      </c>
      <c r="U86">
        <v>1</v>
      </c>
      <c r="V86" t="s">
        <v>1584</v>
      </c>
      <c r="W86" t="s">
        <v>1592</v>
      </c>
      <c r="X86">
        <v>16.25</v>
      </c>
    </row>
    <row r="87" spans="1:24" x14ac:dyDescent="0.25">
      <c r="A87" t="s">
        <v>107</v>
      </c>
      <c r="B87" s="4">
        <v>45962</v>
      </c>
      <c r="C87" s="4" t="str">
        <f t="shared" si="2"/>
        <v>Nov</v>
      </c>
      <c r="D87" t="s">
        <v>1522</v>
      </c>
      <c r="E87" t="s">
        <v>1526</v>
      </c>
      <c r="F87" t="s">
        <v>1535</v>
      </c>
      <c r="G87" t="s">
        <v>1547</v>
      </c>
      <c r="H87" t="s">
        <v>1551</v>
      </c>
      <c r="I87">
        <v>2023</v>
      </c>
      <c r="J87" t="s">
        <v>1554</v>
      </c>
      <c r="K87" t="s">
        <v>1557</v>
      </c>
      <c r="L87">
        <v>884865</v>
      </c>
      <c r="M87">
        <v>765229</v>
      </c>
      <c r="N87">
        <v>119636</v>
      </c>
      <c r="O87">
        <v>64</v>
      </c>
      <c r="P87" t="str">
        <f t="shared" si="3"/>
        <v>senior</v>
      </c>
      <c r="Q87" t="s">
        <v>1560</v>
      </c>
      <c r="R87" t="s">
        <v>1566</v>
      </c>
      <c r="S87" t="s">
        <v>1570</v>
      </c>
      <c r="T87">
        <v>504165</v>
      </c>
      <c r="U87">
        <v>2</v>
      </c>
      <c r="V87" t="s">
        <v>1583</v>
      </c>
      <c r="W87" t="s">
        <v>1593</v>
      </c>
      <c r="X87">
        <v>13.52</v>
      </c>
    </row>
    <row r="88" spans="1:24" x14ac:dyDescent="0.25">
      <c r="A88" t="s">
        <v>108</v>
      </c>
      <c r="B88" s="4">
        <v>46172</v>
      </c>
      <c r="C88" s="4" t="str">
        <f t="shared" si="2"/>
        <v>May</v>
      </c>
      <c r="D88" t="s">
        <v>1522</v>
      </c>
      <c r="E88" t="s">
        <v>1525</v>
      </c>
      <c r="F88" t="s">
        <v>1531</v>
      </c>
      <c r="G88" t="s">
        <v>1543</v>
      </c>
      <c r="H88" t="s">
        <v>1551</v>
      </c>
      <c r="I88">
        <v>2025</v>
      </c>
      <c r="J88" t="s">
        <v>1554</v>
      </c>
      <c r="K88" t="s">
        <v>1557</v>
      </c>
      <c r="L88">
        <v>976626</v>
      </c>
      <c r="M88">
        <v>912800</v>
      </c>
      <c r="N88">
        <v>63826</v>
      </c>
      <c r="O88">
        <v>53</v>
      </c>
      <c r="P88" t="str">
        <f t="shared" si="3"/>
        <v>senior</v>
      </c>
      <c r="Q88" t="s">
        <v>1558</v>
      </c>
      <c r="R88" t="s">
        <v>1561</v>
      </c>
      <c r="S88" t="s">
        <v>1569</v>
      </c>
      <c r="T88">
        <v>1616548</v>
      </c>
      <c r="U88">
        <v>3</v>
      </c>
      <c r="V88" t="s">
        <v>1590</v>
      </c>
      <c r="W88" t="s">
        <v>1592</v>
      </c>
      <c r="X88">
        <v>6.54</v>
      </c>
    </row>
    <row r="89" spans="1:24" x14ac:dyDescent="0.25">
      <c r="A89" t="s">
        <v>109</v>
      </c>
      <c r="B89" s="4">
        <v>45658</v>
      </c>
      <c r="C89" s="4" t="str">
        <f t="shared" si="2"/>
        <v>Jan</v>
      </c>
      <c r="D89" t="s">
        <v>1522</v>
      </c>
      <c r="E89" t="s">
        <v>1525</v>
      </c>
      <c r="F89" t="s">
        <v>1534</v>
      </c>
      <c r="G89" t="s">
        <v>1538</v>
      </c>
      <c r="H89" t="s">
        <v>1551</v>
      </c>
      <c r="I89">
        <v>2024</v>
      </c>
      <c r="J89" t="s">
        <v>1554</v>
      </c>
      <c r="K89" t="s">
        <v>1557</v>
      </c>
      <c r="L89">
        <v>1050935</v>
      </c>
      <c r="M89">
        <v>921321</v>
      </c>
      <c r="N89">
        <v>129614</v>
      </c>
      <c r="O89">
        <v>29</v>
      </c>
      <c r="P89" t="str">
        <f t="shared" si="3"/>
        <v>young</v>
      </c>
      <c r="Q89" t="s">
        <v>1559</v>
      </c>
      <c r="R89" t="s">
        <v>1566</v>
      </c>
      <c r="S89" t="s">
        <v>1567</v>
      </c>
      <c r="T89">
        <v>82254</v>
      </c>
      <c r="U89">
        <v>3</v>
      </c>
      <c r="V89" t="s">
        <v>1571</v>
      </c>
      <c r="W89" t="s">
        <v>1591</v>
      </c>
      <c r="X89">
        <v>12.33</v>
      </c>
    </row>
    <row r="90" spans="1:24" x14ac:dyDescent="0.25">
      <c r="A90" t="s">
        <v>110</v>
      </c>
      <c r="B90" s="4">
        <v>45691</v>
      </c>
      <c r="C90" s="4" t="str">
        <f t="shared" si="2"/>
        <v>Feb</v>
      </c>
      <c r="D90" t="s">
        <v>1522</v>
      </c>
      <c r="E90" t="s">
        <v>1525</v>
      </c>
      <c r="F90" t="s">
        <v>1537</v>
      </c>
      <c r="G90" t="s">
        <v>1546</v>
      </c>
      <c r="H90" t="s">
        <v>1551</v>
      </c>
      <c r="I90">
        <v>2024</v>
      </c>
      <c r="J90" t="s">
        <v>1554</v>
      </c>
      <c r="K90" t="s">
        <v>1557</v>
      </c>
      <c r="L90">
        <v>947926</v>
      </c>
      <c r="M90">
        <v>821541</v>
      </c>
      <c r="N90">
        <v>126385</v>
      </c>
      <c r="O90">
        <v>25</v>
      </c>
      <c r="P90" t="str">
        <f t="shared" si="3"/>
        <v>young</v>
      </c>
      <c r="Q90" t="s">
        <v>1558</v>
      </c>
      <c r="R90" t="s">
        <v>1561</v>
      </c>
      <c r="S90" t="s">
        <v>1568</v>
      </c>
      <c r="T90">
        <v>2196563</v>
      </c>
      <c r="U90">
        <v>4</v>
      </c>
      <c r="V90" t="s">
        <v>1578</v>
      </c>
      <c r="W90" t="s">
        <v>1591</v>
      </c>
      <c r="X90">
        <v>13.33</v>
      </c>
    </row>
    <row r="91" spans="1:24" x14ac:dyDescent="0.25">
      <c r="A91" t="s">
        <v>111</v>
      </c>
      <c r="B91" s="4">
        <v>46066</v>
      </c>
      <c r="C91" s="4" t="str">
        <f t="shared" si="2"/>
        <v>Feb</v>
      </c>
      <c r="D91" t="s">
        <v>1522</v>
      </c>
      <c r="E91" t="s">
        <v>1526</v>
      </c>
      <c r="F91" t="s">
        <v>1537</v>
      </c>
      <c r="G91" t="s">
        <v>1539</v>
      </c>
      <c r="H91" t="s">
        <v>1550</v>
      </c>
      <c r="I91">
        <v>2025</v>
      </c>
      <c r="J91" t="s">
        <v>1554</v>
      </c>
      <c r="K91" t="s">
        <v>1556</v>
      </c>
      <c r="L91">
        <v>1699799</v>
      </c>
      <c r="M91">
        <v>1423105</v>
      </c>
      <c r="N91">
        <v>276694</v>
      </c>
      <c r="O91">
        <v>21</v>
      </c>
      <c r="P91" t="str">
        <f t="shared" si="3"/>
        <v>young</v>
      </c>
      <c r="Q91" t="s">
        <v>1559</v>
      </c>
      <c r="R91" t="s">
        <v>1561</v>
      </c>
      <c r="S91" t="s">
        <v>1567</v>
      </c>
      <c r="T91">
        <v>440537</v>
      </c>
      <c r="U91">
        <v>5</v>
      </c>
      <c r="V91" t="s">
        <v>1589</v>
      </c>
      <c r="W91" t="s">
        <v>1591</v>
      </c>
      <c r="X91">
        <v>16.28</v>
      </c>
    </row>
    <row r="92" spans="1:24" x14ac:dyDescent="0.25">
      <c r="A92" t="s">
        <v>112</v>
      </c>
      <c r="B92" s="4">
        <v>45807</v>
      </c>
      <c r="C92" s="4" t="str">
        <f t="shared" si="2"/>
        <v>May</v>
      </c>
      <c r="D92" t="s">
        <v>1522</v>
      </c>
      <c r="E92" t="s">
        <v>1527</v>
      </c>
      <c r="F92" t="s">
        <v>1529</v>
      </c>
      <c r="G92" t="s">
        <v>1539</v>
      </c>
      <c r="H92" t="s">
        <v>1552</v>
      </c>
      <c r="I92">
        <v>2025</v>
      </c>
      <c r="J92" t="s">
        <v>1555</v>
      </c>
      <c r="K92" t="s">
        <v>1556</v>
      </c>
      <c r="L92">
        <v>1894622</v>
      </c>
      <c r="M92">
        <v>1692734</v>
      </c>
      <c r="N92">
        <v>201888</v>
      </c>
      <c r="O92">
        <v>64</v>
      </c>
      <c r="P92" t="str">
        <f t="shared" si="3"/>
        <v>senior</v>
      </c>
      <c r="Q92" t="s">
        <v>1558</v>
      </c>
      <c r="R92" t="s">
        <v>1562</v>
      </c>
      <c r="S92" t="s">
        <v>1568</v>
      </c>
      <c r="T92">
        <v>1006100</v>
      </c>
      <c r="U92">
        <v>5</v>
      </c>
      <c r="V92" t="s">
        <v>1572</v>
      </c>
      <c r="W92" t="s">
        <v>1592</v>
      </c>
      <c r="X92">
        <v>10.66</v>
      </c>
    </row>
    <row r="93" spans="1:24" x14ac:dyDescent="0.25">
      <c r="A93" t="s">
        <v>113</v>
      </c>
      <c r="B93" s="4">
        <v>45876</v>
      </c>
      <c r="C93" s="4" t="str">
        <f t="shared" si="2"/>
        <v>Aug</v>
      </c>
      <c r="D93" t="s">
        <v>1522</v>
      </c>
      <c r="E93" t="s">
        <v>1527</v>
      </c>
      <c r="F93" t="s">
        <v>1533</v>
      </c>
      <c r="G93" t="s">
        <v>1541</v>
      </c>
      <c r="H93" t="s">
        <v>4</v>
      </c>
      <c r="I93">
        <v>2024</v>
      </c>
      <c r="J93" t="s">
        <v>1554</v>
      </c>
      <c r="K93" t="s">
        <v>1556</v>
      </c>
      <c r="L93">
        <v>1707238</v>
      </c>
      <c r="M93">
        <v>1447316</v>
      </c>
      <c r="N93">
        <v>259922</v>
      </c>
      <c r="O93">
        <v>26</v>
      </c>
      <c r="P93" t="str">
        <f t="shared" si="3"/>
        <v>young</v>
      </c>
      <c r="Q93" t="s">
        <v>1558</v>
      </c>
      <c r="R93" t="s">
        <v>1561</v>
      </c>
      <c r="S93" t="s">
        <v>1567</v>
      </c>
      <c r="T93">
        <v>780255</v>
      </c>
      <c r="U93">
        <v>4</v>
      </c>
      <c r="V93" t="s">
        <v>1585</v>
      </c>
      <c r="W93" t="s">
        <v>1594</v>
      </c>
      <c r="X93">
        <v>15.22</v>
      </c>
    </row>
    <row r="94" spans="1:24" x14ac:dyDescent="0.25">
      <c r="A94" t="s">
        <v>114</v>
      </c>
      <c r="B94" s="4">
        <v>45848</v>
      </c>
      <c r="C94" s="4" t="str">
        <f t="shared" si="2"/>
        <v>Jul</v>
      </c>
      <c r="D94" t="s">
        <v>1522</v>
      </c>
      <c r="E94" t="s">
        <v>1525</v>
      </c>
      <c r="F94" t="s">
        <v>1530</v>
      </c>
      <c r="G94" t="s">
        <v>1541</v>
      </c>
      <c r="H94" t="s">
        <v>1552</v>
      </c>
      <c r="I94">
        <v>2023</v>
      </c>
      <c r="J94" t="s">
        <v>1555</v>
      </c>
      <c r="K94" t="s">
        <v>1556</v>
      </c>
      <c r="L94">
        <v>2013909</v>
      </c>
      <c r="M94">
        <v>1638997</v>
      </c>
      <c r="N94">
        <v>374912</v>
      </c>
      <c r="O94">
        <v>46</v>
      </c>
      <c r="P94" t="str">
        <f t="shared" si="3"/>
        <v>adult</v>
      </c>
      <c r="Q94" t="s">
        <v>1559</v>
      </c>
      <c r="R94" t="s">
        <v>1563</v>
      </c>
      <c r="S94" t="s">
        <v>1567</v>
      </c>
      <c r="T94">
        <v>2112718</v>
      </c>
      <c r="U94">
        <v>5</v>
      </c>
      <c r="V94" t="s">
        <v>1579</v>
      </c>
      <c r="W94" t="s">
        <v>1594</v>
      </c>
      <c r="X94">
        <v>18.62</v>
      </c>
    </row>
    <row r="95" spans="1:24" x14ac:dyDescent="0.25">
      <c r="A95" t="s">
        <v>115</v>
      </c>
      <c r="B95" s="4">
        <v>45732</v>
      </c>
      <c r="C95" s="4" t="str">
        <f t="shared" si="2"/>
        <v>Mar</v>
      </c>
      <c r="D95" t="s">
        <v>1522</v>
      </c>
      <c r="E95" t="s">
        <v>1524</v>
      </c>
      <c r="F95" t="s">
        <v>1532</v>
      </c>
      <c r="G95" t="s">
        <v>1542</v>
      </c>
      <c r="H95" t="s">
        <v>1550</v>
      </c>
      <c r="I95">
        <v>2025</v>
      </c>
      <c r="J95" t="s">
        <v>1554</v>
      </c>
      <c r="K95" t="s">
        <v>1556</v>
      </c>
      <c r="L95">
        <v>1672047</v>
      </c>
      <c r="M95">
        <v>1504942</v>
      </c>
      <c r="N95">
        <v>167105</v>
      </c>
      <c r="O95">
        <v>62</v>
      </c>
      <c r="P95" t="str">
        <f t="shared" si="3"/>
        <v>senior</v>
      </c>
      <c r="Q95" t="s">
        <v>1558</v>
      </c>
      <c r="R95" t="s">
        <v>1562</v>
      </c>
      <c r="S95" t="s">
        <v>1570</v>
      </c>
      <c r="T95">
        <v>90984</v>
      </c>
      <c r="U95">
        <v>4</v>
      </c>
      <c r="V95" t="s">
        <v>1588</v>
      </c>
      <c r="W95" t="s">
        <v>1591</v>
      </c>
      <c r="X95">
        <v>9.99</v>
      </c>
    </row>
    <row r="96" spans="1:24" x14ac:dyDescent="0.25">
      <c r="A96" t="s">
        <v>116</v>
      </c>
      <c r="B96" s="4">
        <v>45864</v>
      </c>
      <c r="C96" s="4" t="str">
        <f t="shared" si="2"/>
        <v>Jul</v>
      </c>
      <c r="D96" t="s">
        <v>1522</v>
      </c>
      <c r="E96" t="s">
        <v>1525</v>
      </c>
      <c r="F96" t="s">
        <v>1528</v>
      </c>
      <c r="G96" t="s">
        <v>1544</v>
      </c>
      <c r="H96" t="s">
        <v>1550</v>
      </c>
      <c r="I96">
        <v>2026</v>
      </c>
      <c r="J96" t="s">
        <v>1554</v>
      </c>
      <c r="K96" t="s">
        <v>1556</v>
      </c>
      <c r="L96">
        <v>1547361</v>
      </c>
      <c r="M96">
        <v>1401728</v>
      </c>
      <c r="N96">
        <v>145633</v>
      </c>
      <c r="O96">
        <v>59</v>
      </c>
      <c r="P96" t="str">
        <f t="shared" si="3"/>
        <v>senior</v>
      </c>
      <c r="Q96" t="s">
        <v>1559</v>
      </c>
      <c r="R96" t="s">
        <v>1564</v>
      </c>
      <c r="S96" t="s">
        <v>1567</v>
      </c>
      <c r="T96">
        <v>1991643</v>
      </c>
      <c r="U96">
        <v>5</v>
      </c>
      <c r="V96" t="s">
        <v>1579</v>
      </c>
      <c r="W96" t="s">
        <v>1594</v>
      </c>
      <c r="X96">
        <v>9.41</v>
      </c>
    </row>
    <row r="97" spans="1:24" x14ac:dyDescent="0.25">
      <c r="A97" t="s">
        <v>117</v>
      </c>
      <c r="B97" s="4">
        <v>45708</v>
      </c>
      <c r="C97" s="4" t="str">
        <f t="shared" si="2"/>
        <v>Feb</v>
      </c>
      <c r="D97" t="s">
        <v>1522</v>
      </c>
      <c r="E97" t="s">
        <v>1527</v>
      </c>
      <c r="F97" t="s">
        <v>1532</v>
      </c>
      <c r="G97" t="s">
        <v>1543</v>
      </c>
      <c r="H97" t="s">
        <v>1550</v>
      </c>
      <c r="I97">
        <v>2025</v>
      </c>
      <c r="J97" t="s">
        <v>1554</v>
      </c>
      <c r="K97" t="s">
        <v>1557</v>
      </c>
      <c r="L97">
        <v>1641166</v>
      </c>
      <c r="M97">
        <v>1456192</v>
      </c>
      <c r="N97">
        <v>184974</v>
      </c>
      <c r="O97">
        <v>33</v>
      </c>
      <c r="P97" t="str">
        <f t="shared" si="3"/>
        <v>adult</v>
      </c>
      <c r="Q97" t="s">
        <v>1560</v>
      </c>
      <c r="R97" t="s">
        <v>1565</v>
      </c>
      <c r="S97" t="s">
        <v>1568</v>
      </c>
      <c r="T97">
        <v>409722</v>
      </c>
      <c r="U97">
        <v>1</v>
      </c>
      <c r="V97" t="s">
        <v>1578</v>
      </c>
      <c r="W97" t="s">
        <v>1591</v>
      </c>
      <c r="X97">
        <v>11.27</v>
      </c>
    </row>
    <row r="98" spans="1:24" x14ac:dyDescent="0.25">
      <c r="A98" t="s">
        <v>118</v>
      </c>
      <c r="B98" s="4">
        <v>46075</v>
      </c>
      <c r="C98" s="4" t="str">
        <f t="shared" si="2"/>
        <v>Feb</v>
      </c>
      <c r="D98" t="s">
        <v>1522</v>
      </c>
      <c r="E98" t="s">
        <v>1526</v>
      </c>
      <c r="F98" t="s">
        <v>1535</v>
      </c>
      <c r="G98" t="s">
        <v>1541</v>
      </c>
      <c r="H98" t="s">
        <v>1551</v>
      </c>
      <c r="I98">
        <v>2025</v>
      </c>
      <c r="J98" t="s">
        <v>1554</v>
      </c>
      <c r="K98" t="s">
        <v>1556</v>
      </c>
      <c r="L98">
        <v>817982</v>
      </c>
      <c r="M98">
        <v>718408</v>
      </c>
      <c r="N98">
        <v>99574</v>
      </c>
      <c r="O98">
        <v>45</v>
      </c>
      <c r="P98" t="str">
        <f t="shared" si="3"/>
        <v>adult</v>
      </c>
      <c r="Q98" t="s">
        <v>1558</v>
      </c>
      <c r="R98" t="s">
        <v>1565</v>
      </c>
      <c r="S98" t="s">
        <v>1569</v>
      </c>
      <c r="T98">
        <v>367496</v>
      </c>
      <c r="U98">
        <v>2</v>
      </c>
      <c r="V98" t="s">
        <v>1589</v>
      </c>
      <c r="W98" t="s">
        <v>1591</v>
      </c>
      <c r="X98">
        <v>12.17</v>
      </c>
    </row>
    <row r="99" spans="1:24" x14ac:dyDescent="0.25">
      <c r="A99" t="s">
        <v>119</v>
      </c>
      <c r="B99" s="4">
        <v>46241</v>
      </c>
      <c r="C99" s="4" t="str">
        <f t="shared" si="2"/>
        <v>Aug</v>
      </c>
      <c r="D99" t="s">
        <v>1522</v>
      </c>
      <c r="E99" t="s">
        <v>1526</v>
      </c>
      <c r="F99" t="s">
        <v>1532</v>
      </c>
      <c r="G99" t="s">
        <v>1544</v>
      </c>
      <c r="H99" t="s">
        <v>1552</v>
      </c>
      <c r="I99">
        <v>2023</v>
      </c>
      <c r="J99" t="s">
        <v>1555</v>
      </c>
      <c r="K99" t="s">
        <v>1556</v>
      </c>
      <c r="L99">
        <v>1929425</v>
      </c>
      <c r="M99">
        <v>1691659</v>
      </c>
      <c r="N99">
        <v>237766</v>
      </c>
      <c r="O99">
        <v>55</v>
      </c>
      <c r="P99" t="str">
        <f t="shared" si="3"/>
        <v>senior</v>
      </c>
      <c r="Q99" t="s">
        <v>1558</v>
      </c>
      <c r="R99" t="s">
        <v>1566</v>
      </c>
      <c r="S99" t="s">
        <v>1570</v>
      </c>
      <c r="T99">
        <v>443286</v>
      </c>
      <c r="U99">
        <v>4</v>
      </c>
      <c r="V99" t="s">
        <v>1576</v>
      </c>
      <c r="W99" t="s">
        <v>1594</v>
      </c>
      <c r="X99">
        <v>12.32</v>
      </c>
    </row>
    <row r="100" spans="1:24" x14ac:dyDescent="0.25">
      <c r="A100" t="s">
        <v>120</v>
      </c>
      <c r="B100" s="4">
        <v>45994</v>
      </c>
      <c r="C100" s="4" t="str">
        <f t="shared" si="2"/>
        <v>Dec</v>
      </c>
      <c r="D100" t="s">
        <v>1522</v>
      </c>
      <c r="E100" t="s">
        <v>1524</v>
      </c>
      <c r="F100" t="s">
        <v>1535</v>
      </c>
      <c r="G100" t="s">
        <v>1546</v>
      </c>
      <c r="H100" t="s">
        <v>4</v>
      </c>
      <c r="I100">
        <v>2024</v>
      </c>
      <c r="J100" t="s">
        <v>1554</v>
      </c>
      <c r="K100" t="s">
        <v>1556</v>
      </c>
      <c r="L100">
        <v>1498996</v>
      </c>
      <c r="M100">
        <v>1424300</v>
      </c>
      <c r="N100">
        <v>74696</v>
      </c>
      <c r="O100">
        <v>58</v>
      </c>
      <c r="P100" t="str">
        <f t="shared" si="3"/>
        <v>senior</v>
      </c>
      <c r="Q100" t="s">
        <v>1559</v>
      </c>
      <c r="R100" t="s">
        <v>1566</v>
      </c>
      <c r="S100" t="s">
        <v>1567</v>
      </c>
      <c r="T100">
        <v>1986722</v>
      </c>
      <c r="U100">
        <v>1</v>
      </c>
      <c r="V100" t="s">
        <v>1575</v>
      </c>
      <c r="W100" t="s">
        <v>1593</v>
      </c>
      <c r="X100">
        <v>4.9800000000000004</v>
      </c>
    </row>
    <row r="101" spans="1:24" x14ac:dyDescent="0.25">
      <c r="A101" t="s">
        <v>121</v>
      </c>
      <c r="B101" s="4">
        <v>46188</v>
      </c>
      <c r="C101" s="4" t="str">
        <f t="shared" si="2"/>
        <v>Jun</v>
      </c>
      <c r="D101" t="s">
        <v>1522</v>
      </c>
      <c r="E101" t="s">
        <v>1523</v>
      </c>
      <c r="F101" t="s">
        <v>1536</v>
      </c>
      <c r="G101" t="s">
        <v>1549</v>
      </c>
      <c r="H101" t="s">
        <v>1551</v>
      </c>
      <c r="I101">
        <v>2024</v>
      </c>
      <c r="J101" t="s">
        <v>1554</v>
      </c>
      <c r="K101" t="s">
        <v>1556</v>
      </c>
      <c r="L101">
        <v>964598</v>
      </c>
      <c r="M101">
        <v>796061</v>
      </c>
      <c r="N101">
        <v>168537</v>
      </c>
      <c r="O101">
        <v>33</v>
      </c>
      <c r="P101" t="str">
        <f t="shared" si="3"/>
        <v>adult</v>
      </c>
      <c r="Q101" t="s">
        <v>1558</v>
      </c>
      <c r="R101" t="s">
        <v>1563</v>
      </c>
      <c r="S101" t="s">
        <v>1568</v>
      </c>
      <c r="T101">
        <v>305872</v>
      </c>
      <c r="U101">
        <v>3</v>
      </c>
      <c r="V101" t="s">
        <v>1582</v>
      </c>
      <c r="W101" t="s">
        <v>1592</v>
      </c>
      <c r="X101">
        <v>17.47</v>
      </c>
    </row>
    <row r="102" spans="1:24" x14ac:dyDescent="0.25">
      <c r="A102" t="s">
        <v>122</v>
      </c>
      <c r="B102" s="4">
        <v>45828</v>
      </c>
      <c r="C102" s="4" t="str">
        <f t="shared" si="2"/>
        <v>Jun</v>
      </c>
      <c r="D102" t="s">
        <v>1522</v>
      </c>
      <c r="E102" t="s">
        <v>1527</v>
      </c>
      <c r="F102" t="s">
        <v>1534</v>
      </c>
      <c r="G102" t="s">
        <v>1542</v>
      </c>
      <c r="H102" t="s">
        <v>1550</v>
      </c>
      <c r="I102">
        <v>2025</v>
      </c>
      <c r="J102" t="s">
        <v>1554</v>
      </c>
      <c r="K102" t="s">
        <v>1556</v>
      </c>
      <c r="L102">
        <v>1414043</v>
      </c>
      <c r="M102">
        <v>1274444</v>
      </c>
      <c r="N102">
        <v>139599</v>
      </c>
      <c r="O102">
        <v>21</v>
      </c>
      <c r="P102" t="str">
        <f t="shared" si="3"/>
        <v>young</v>
      </c>
      <c r="Q102" t="s">
        <v>1558</v>
      </c>
      <c r="R102" t="s">
        <v>1561</v>
      </c>
      <c r="S102" t="s">
        <v>1570</v>
      </c>
      <c r="T102">
        <v>1781870</v>
      </c>
      <c r="U102">
        <v>5</v>
      </c>
      <c r="V102" t="s">
        <v>1584</v>
      </c>
      <c r="W102" t="s">
        <v>1592</v>
      </c>
      <c r="X102">
        <v>9.8699999999999992</v>
      </c>
    </row>
    <row r="103" spans="1:24" x14ac:dyDescent="0.25">
      <c r="A103" t="s">
        <v>123</v>
      </c>
      <c r="B103" s="4">
        <v>45688</v>
      </c>
      <c r="C103" s="4" t="str">
        <f t="shared" si="2"/>
        <v>Jan</v>
      </c>
      <c r="D103" t="s">
        <v>1522</v>
      </c>
      <c r="E103" t="s">
        <v>1523</v>
      </c>
      <c r="F103" t="s">
        <v>1530</v>
      </c>
      <c r="G103" t="s">
        <v>1548</v>
      </c>
      <c r="H103" t="s">
        <v>4</v>
      </c>
      <c r="I103">
        <v>2023</v>
      </c>
      <c r="J103" t="s">
        <v>1554</v>
      </c>
      <c r="K103" t="s">
        <v>1556</v>
      </c>
      <c r="L103">
        <v>1695502</v>
      </c>
      <c r="M103">
        <v>1510798</v>
      </c>
      <c r="N103">
        <v>184704</v>
      </c>
      <c r="O103">
        <v>36</v>
      </c>
      <c r="P103" t="str">
        <f t="shared" si="3"/>
        <v>adult</v>
      </c>
      <c r="Q103" t="s">
        <v>1558</v>
      </c>
      <c r="R103" t="s">
        <v>1564</v>
      </c>
      <c r="S103" t="s">
        <v>1570</v>
      </c>
      <c r="T103">
        <v>862272</v>
      </c>
      <c r="U103">
        <v>2</v>
      </c>
      <c r="V103" t="s">
        <v>1571</v>
      </c>
      <c r="W103" t="s">
        <v>1591</v>
      </c>
      <c r="X103">
        <v>10.89</v>
      </c>
    </row>
    <row r="104" spans="1:24" x14ac:dyDescent="0.25">
      <c r="A104" t="s">
        <v>124</v>
      </c>
      <c r="B104" s="4">
        <v>46035</v>
      </c>
      <c r="C104" s="4" t="str">
        <f t="shared" si="2"/>
        <v>Jan</v>
      </c>
      <c r="D104" t="s">
        <v>1522</v>
      </c>
      <c r="E104" t="s">
        <v>1523</v>
      </c>
      <c r="F104" t="s">
        <v>1530</v>
      </c>
      <c r="G104" t="s">
        <v>1542</v>
      </c>
      <c r="H104" t="s">
        <v>1551</v>
      </c>
      <c r="I104">
        <v>2023</v>
      </c>
      <c r="J104" t="s">
        <v>1554</v>
      </c>
      <c r="K104" t="s">
        <v>1557</v>
      </c>
      <c r="L104">
        <v>740506</v>
      </c>
      <c r="M104">
        <v>720150</v>
      </c>
      <c r="N104">
        <v>20356</v>
      </c>
      <c r="O104">
        <v>56</v>
      </c>
      <c r="P104" t="str">
        <f t="shared" si="3"/>
        <v>senior</v>
      </c>
      <c r="Q104" t="s">
        <v>1558</v>
      </c>
      <c r="R104" t="s">
        <v>1563</v>
      </c>
      <c r="S104" t="s">
        <v>1567</v>
      </c>
      <c r="T104">
        <v>1077197</v>
      </c>
      <c r="U104">
        <v>3</v>
      </c>
      <c r="V104" t="s">
        <v>1581</v>
      </c>
      <c r="W104" t="s">
        <v>1591</v>
      </c>
      <c r="X104">
        <v>2.75</v>
      </c>
    </row>
    <row r="105" spans="1:24" x14ac:dyDescent="0.25">
      <c r="A105" t="s">
        <v>125</v>
      </c>
      <c r="B105" s="4">
        <v>45737</v>
      </c>
      <c r="C105" s="4" t="str">
        <f t="shared" si="2"/>
        <v>Mar</v>
      </c>
      <c r="D105" t="s">
        <v>1522</v>
      </c>
      <c r="E105" t="s">
        <v>1526</v>
      </c>
      <c r="F105" t="s">
        <v>1535</v>
      </c>
      <c r="G105" t="s">
        <v>1541</v>
      </c>
      <c r="H105" t="s">
        <v>1551</v>
      </c>
      <c r="I105">
        <v>2026</v>
      </c>
      <c r="J105" t="s">
        <v>1554</v>
      </c>
      <c r="K105" t="s">
        <v>1557</v>
      </c>
      <c r="L105">
        <v>924493</v>
      </c>
      <c r="M105">
        <v>826846</v>
      </c>
      <c r="N105">
        <v>97647</v>
      </c>
      <c r="O105">
        <v>45</v>
      </c>
      <c r="P105" t="str">
        <f t="shared" si="3"/>
        <v>adult</v>
      </c>
      <c r="Q105" t="s">
        <v>1558</v>
      </c>
      <c r="R105" t="s">
        <v>1566</v>
      </c>
      <c r="S105" t="s">
        <v>1567</v>
      </c>
      <c r="T105">
        <v>1594305</v>
      </c>
      <c r="U105">
        <v>2</v>
      </c>
      <c r="V105" t="s">
        <v>1588</v>
      </c>
      <c r="W105" t="s">
        <v>1591</v>
      </c>
      <c r="X105">
        <v>10.56</v>
      </c>
    </row>
    <row r="106" spans="1:24" x14ac:dyDescent="0.25">
      <c r="A106" t="s">
        <v>126</v>
      </c>
      <c r="B106" s="4">
        <v>46109</v>
      </c>
      <c r="C106" s="4" t="str">
        <f t="shared" si="2"/>
        <v>Mar</v>
      </c>
      <c r="D106" t="s">
        <v>1522</v>
      </c>
      <c r="E106" t="s">
        <v>1526</v>
      </c>
      <c r="F106" t="s">
        <v>1532</v>
      </c>
      <c r="G106" t="s">
        <v>1546</v>
      </c>
      <c r="H106" t="s">
        <v>1550</v>
      </c>
      <c r="I106">
        <v>2023</v>
      </c>
      <c r="J106" t="s">
        <v>1554</v>
      </c>
      <c r="K106" t="s">
        <v>1556</v>
      </c>
      <c r="L106">
        <v>1258262</v>
      </c>
      <c r="M106">
        <v>1049556</v>
      </c>
      <c r="N106">
        <v>208706</v>
      </c>
      <c r="O106">
        <v>30</v>
      </c>
      <c r="P106" t="str">
        <f t="shared" si="3"/>
        <v>young</v>
      </c>
      <c r="Q106" t="s">
        <v>1559</v>
      </c>
      <c r="R106" t="s">
        <v>1563</v>
      </c>
      <c r="S106" t="s">
        <v>1567</v>
      </c>
      <c r="T106">
        <v>1756456</v>
      </c>
      <c r="U106">
        <v>4</v>
      </c>
      <c r="V106" t="s">
        <v>1586</v>
      </c>
      <c r="W106" t="s">
        <v>1591</v>
      </c>
      <c r="X106">
        <v>16.59</v>
      </c>
    </row>
    <row r="107" spans="1:24" x14ac:dyDescent="0.25">
      <c r="A107" t="s">
        <v>127</v>
      </c>
      <c r="B107" s="4">
        <v>45806</v>
      </c>
      <c r="C107" s="4" t="str">
        <f t="shared" si="2"/>
        <v>May</v>
      </c>
      <c r="D107" t="s">
        <v>1522</v>
      </c>
      <c r="E107" t="s">
        <v>1526</v>
      </c>
      <c r="F107" t="s">
        <v>1534</v>
      </c>
      <c r="G107" t="s">
        <v>1548</v>
      </c>
      <c r="H107" t="s">
        <v>4</v>
      </c>
      <c r="I107">
        <v>2025</v>
      </c>
      <c r="J107" t="s">
        <v>1554</v>
      </c>
      <c r="K107" t="s">
        <v>1556</v>
      </c>
      <c r="L107">
        <v>1540654</v>
      </c>
      <c r="M107">
        <v>1406465</v>
      </c>
      <c r="N107">
        <v>134189</v>
      </c>
      <c r="O107">
        <v>42</v>
      </c>
      <c r="P107" t="str">
        <f t="shared" si="3"/>
        <v>adult</v>
      </c>
      <c r="Q107" t="s">
        <v>1559</v>
      </c>
      <c r="R107" t="s">
        <v>1566</v>
      </c>
      <c r="S107" t="s">
        <v>1569</v>
      </c>
      <c r="T107">
        <v>1879085</v>
      </c>
      <c r="U107">
        <v>2</v>
      </c>
      <c r="V107" t="s">
        <v>1572</v>
      </c>
      <c r="W107" t="s">
        <v>1592</v>
      </c>
      <c r="X107">
        <v>8.7100000000000009</v>
      </c>
    </row>
    <row r="108" spans="1:24" x14ac:dyDescent="0.25">
      <c r="A108" t="s">
        <v>128</v>
      </c>
      <c r="B108" s="4">
        <v>45771</v>
      </c>
      <c r="C108" s="4" t="str">
        <f t="shared" si="2"/>
        <v>Apr</v>
      </c>
      <c r="D108" t="s">
        <v>1522</v>
      </c>
      <c r="E108" t="s">
        <v>1523</v>
      </c>
      <c r="F108" t="s">
        <v>1529</v>
      </c>
      <c r="G108" t="s">
        <v>1548</v>
      </c>
      <c r="H108" t="s">
        <v>1551</v>
      </c>
      <c r="I108">
        <v>2024</v>
      </c>
      <c r="J108" t="s">
        <v>1554</v>
      </c>
      <c r="K108" t="s">
        <v>1556</v>
      </c>
      <c r="L108">
        <v>1054013</v>
      </c>
      <c r="M108">
        <v>947250</v>
      </c>
      <c r="N108">
        <v>106763</v>
      </c>
      <c r="O108">
        <v>44</v>
      </c>
      <c r="P108" t="str">
        <f t="shared" si="3"/>
        <v>adult</v>
      </c>
      <c r="Q108" t="s">
        <v>1558</v>
      </c>
      <c r="R108" t="s">
        <v>1564</v>
      </c>
      <c r="S108" t="s">
        <v>1568</v>
      </c>
      <c r="T108">
        <v>1772990</v>
      </c>
      <c r="U108">
        <v>1</v>
      </c>
      <c r="V108" t="s">
        <v>1573</v>
      </c>
      <c r="W108" t="s">
        <v>1592</v>
      </c>
      <c r="X108">
        <v>10.130000000000001</v>
      </c>
    </row>
    <row r="109" spans="1:24" x14ac:dyDescent="0.25">
      <c r="A109" t="s">
        <v>129</v>
      </c>
      <c r="B109" s="4">
        <v>45868</v>
      </c>
      <c r="C109" s="4" t="str">
        <f t="shared" si="2"/>
        <v>Jul</v>
      </c>
      <c r="D109" t="s">
        <v>1522</v>
      </c>
      <c r="E109" t="s">
        <v>1526</v>
      </c>
      <c r="F109" t="s">
        <v>1535</v>
      </c>
      <c r="G109" t="s">
        <v>1538</v>
      </c>
      <c r="H109" t="s">
        <v>1550</v>
      </c>
      <c r="I109">
        <v>2026</v>
      </c>
      <c r="J109" t="s">
        <v>1554</v>
      </c>
      <c r="K109" t="s">
        <v>1557</v>
      </c>
      <c r="L109">
        <v>1323621</v>
      </c>
      <c r="M109">
        <v>1246940</v>
      </c>
      <c r="N109">
        <v>76681</v>
      </c>
      <c r="O109">
        <v>34</v>
      </c>
      <c r="P109" t="str">
        <f t="shared" si="3"/>
        <v>adult</v>
      </c>
      <c r="Q109" t="s">
        <v>1558</v>
      </c>
      <c r="R109" t="s">
        <v>1563</v>
      </c>
      <c r="S109" t="s">
        <v>1569</v>
      </c>
      <c r="T109">
        <v>1072682</v>
      </c>
      <c r="U109">
        <v>2</v>
      </c>
      <c r="V109" t="s">
        <v>1579</v>
      </c>
      <c r="W109" t="s">
        <v>1594</v>
      </c>
      <c r="X109">
        <v>5.79</v>
      </c>
    </row>
    <row r="110" spans="1:24" x14ac:dyDescent="0.25">
      <c r="A110" t="s">
        <v>130</v>
      </c>
      <c r="B110" s="4">
        <v>45875</v>
      </c>
      <c r="C110" s="4" t="str">
        <f t="shared" si="2"/>
        <v>Aug</v>
      </c>
      <c r="D110" t="s">
        <v>1522</v>
      </c>
      <c r="E110" t="s">
        <v>1527</v>
      </c>
      <c r="F110" t="s">
        <v>1528</v>
      </c>
      <c r="G110" t="s">
        <v>1549</v>
      </c>
      <c r="H110" t="s">
        <v>1551</v>
      </c>
      <c r="I110">
        <v>2022</v>
      </c>
      <c r="J110" t="s">
        <v>1554</v>
      </c>
      <c r="K110" t="s">
        <v>1556</v>
      </c>
      <c r="L110">
        <v>944448</v>
      </c>
      <c r="M110">
        <v>851816</v>
      </c>
      <c r="N110">
        <v>92632</v>
      </c>
      <c r="O110">
        <v>37</v>
      </c>
      <c r="P110" t="str">
        <f t="shared" si="3"/>
        <v>adult</v>
      </c>
      <c r="Q110" t="s">
        <v>1558</v>
      </c>
      <c r="R110" t="s">
        <v>1562</v>
      </c>
      <c r="S110" t="s">
        <v>1568</v>
      </c>
      <c r="T110">
        <v>36289</v>
      </c>
      <c r="U110">
        <v>3</v>
      </c>
      <c r="V110" t="s">
        <v>1585</v>
      </c>
      <c r="W110" t="s">
        <v>1594</v>
      </c>
      <c r="X110">
        <v>9.81</v>
      </c>
    </row>
    <row r="111" spans="1:24" x14ac:dyDescent="0.25">
      <c r="A111" t="s">
        <v>131</v>
      </c>
      <c r="B111" s="4">
        <v>46265</v>
      </c>
      <c r="C111" s="4" t="str">
        <f t="shared" si="2"/>
        <v>Aug</v>
      </c>
      <c r="D111" t="s">
        <v>1522</v>
      </c>
      <c r="E111" t="s">
        <v>1523</v>
      </c>
      <c r="F111" t="s">
        <v>1530</v>
      </c>
      <c r="G111" t="s">
        <v>1539</v>
      </c>
      <c r="H111" t="s">
        <v>4</v>
      </c>
      <c r="I111">
        <v>2025</v>
      </c>
      <c r="J111" t="s">
        <v>1554</v>
      </c>
      <c r="K111" t="s">
        <v>1556</v>
      </c>
      <c r="L111">
        <v>1794555</v>
      </c>
      <c r="M111">
        <v>1641009</v>
      </c>
      <c r="N111">
        <v>153546</v>
      </c>
      <c r="O111">
        <v>54</v>
      </c>
      <c r="P111" t="str">
        <f t="shared" si="3"/>
        <v>senior</v>
      </c>
      <c r="Q111" t="s">
        <v>1558</v>
      </c>
      <c r="R111" t="s">
        <v>1566</v>
      </c>
      <c r="S111" t="s">
        <v>1567</v>
      </c>
      <c r="T111">
        <v>1691570</v>
      </c>
      <c r="U111">
        <v>1</v>
      </c>
      <c r="V111" t="s">
        <v>1576</v>
      </c>
      <c r="W111" t="s">
        <v>1594</v>
      </c>
      <c r="X111">
        <v>8.56</v>
      </c>
    </row>
    <row r="112" spans="1:24" x14ac:dyDescent="0.25">
      <c r="A112" t="s">
        <v>132</v>
      </c>
      <c r="B112" s="4">
        <v>45808</v>
      </c>
      <c r="C112" s="4" t="str">
        <f t="shared" si="2"/>
        <v>May</v>
      </c>
      <c r="D112" t="s">
        <v>1522</v>
      </c>
      <c r="E112" t="s">
        <v>1527</v>
      </c>
      <c r="F112" t="s">
        <v>1537</v>
      </c>
      <c r="G112" t="s">
        <v>1542</v>
      </c>
      <c r="H112" t="s">
        <v>1550</v>
      </c>
      <c r="I112">
        <v>2026</v>
      </c>
      <c r="J112" t="s">
        <v>1554</v>
      </c>
      <c r="K112" t="s">
        <v>1556</v>
      </c>
      <c r="L112">
        <v>1590049</v>
      </c>
      <c r="M112">
        <v>1348393</v>
      </c>
      <c r="N112">
        <v>241656</v>
      </c>
      <c r="O112">
        <v>31</v>
      </c>
      <c r="P112" t="str">
        <f t="shared" si="3"/>
        <v>adult</v>
      </c>
      <c r="Q112" t="s">
        <v>1559</v>
      </c>
      <c r="R112" t="s">
        <v>1566</v>
      </c>
      <c r="S112" t="s">
        <v>1570</v>
      </c>
      <c r="T112">
        <v>2194412</v>
      </c>
      <c r="U112">
        <v>3</v>
      </c>
      <c r="V112" t="s">
        <v>1572</v>
      </c>
      <c r="W112" t="s">
        <v>1592</v>
      </c>
      <c r="X112">
        <v>15.2</v>
      </c>
    </row>
    <row r="113" spans="1:24" x14ac:dyDescent="0.25">
      <c r="A113" t="s">
        <v>133</v>
      </c>
      <c r="B113" s="4">
        <v>45810</v>
      </c>
      <c r="C113" s="4" t="str">
        <f t="shared" si="2"/>
        <v>Jun</v>
      </c>
      <c r="D113" t="s">
        <v>1522</v>
      </c>
      <c r="E113" t="s">
        <v>1525</v>
      </c>
      <c r="F113" t="s">
        <v>1529</v>
      </c>
      <c r="G113" t="s">
        <v>1545</v>
      </c>
      <c r="H113" t="s">
        <v>4</v>
      </c>
      <c r="I113">
        <v>2025</v>
      </c>
      <c r="J113" t="s">
        <v>1554</v>
      </c>
      <c r="K113" t="s">
        <v>1557</v>
      </c>
      <c r="L113">
        <v>1286372</v>
      </c>
      <c r="M113">
        <v>1126367</v>
      </c>
      <c r="N113">
        <v>160005</v>
      </c>
      <c r="O113">
        <v>56</v>
      </c>
      <c r="P113" t="str">
        <f t="shared" si="3"/>
        <v>senior</v>
      </c>
      <c r="Q113" t="s">
        <v>1559</v>
      </c>
      <c r="R113" t="s">
        <v>1564</v>
      </c>
      <c r="S113" t="s">
        <v>1567</v>
      </c>
      <c r="T113">
        <v>835767</v>
      </c>
      <c r="U113">
        <v>3</v>
      </c>
      <c r="V113" t="s">
        <v>1584</v>
      </c>
      <c r="W113" t="s">
        <v>1592</v>
      </c>
      <c r="X113">
        <v>12.44</v>
      </c>
    </row>
    <row r="114" spans="1:24" x14ac:dyDescent="0.25">
      <c r="A114" t="s">
        <v>134</v>
      </c>
      <c r="B114" s="4">
        <v>45804</v>
      </c>
      <c r="C114" s="4" t="str">
        <f t="shared" si="2"/>
        <v>May</v>
      </c>
      <c r="D114" t="s">
        <v>1522</v>
      </c>
      <c r="E114" t="s">
        <v>1523</v>
      </c>
      <c r="F114" t="s">
        <v>1528</v>
      </c>
      <c r="G114" t="s">
        <v>1549</v>
      </c>
      <c r="H114" t="s">
        <v>1550</v>
      </c>
      <c r="I114">
        <v>2024</v>
      </c>
      <c r="J114" t="s">
        <v>1554</v>
      </c>
      <c r="K114" t="s">
        <v>1557</v>
      </c>
      <c r="L114">
        <v>1294149</v>
      </c>
      <c r="M114">
        <v>1147665</v>
      </c>
      <c r="N114">
        <v>146484</v>
      </c>
      <c r="O114">
        <v>30</v>
      </c>
      <c r="P114" t="str">
        <f t="shared" si="3"/>
        <v>young</v>
      </c>
      <c r="Q114" t="s">
        <v>1558</v>
      </c>
      <c r="R114" t="s">
        <v>1562</v>
      </c>
      <c r="S114" t="s">
        <v>1568</v>
      </c>
      <c r="T114">
        <v>64486</v>
      </c>
      <c r="U114">
        <v>2</v>
      </c>
      <c r="V114" t="s">
        <v>1572</v>
      </c>
      <c r="W114" t="s">
        <v>1592</v>
      </c>
      <c r="X114">
        <v>11.32</v>
      </c>
    </row>
    <row r="115" spans="1:24" x14ac:dyDescent="0.25">
      <c r="A115" t="s">
        <v>135</v>
      </c>
      <c r="B115" s="4">
        <v>45667</v>
      </c>
      <c r="C115" s="4" t="str">
        <f t="shared" si="2"/>
        <v>Jan</v>
      </c>
      <c r="D115" t="s">
        <v>1522</v>
      </c>
      <c r="E115" t="s">
        <v>1523</v>
      </c>
      <c r="F115" t="s">
        <v>1535</v>
      </c>
      <c r="G115" t="s">
        <v>1549</v>
      </c>
      <c r="H115" t="s">
        <v>4</v>
      </c>
      <c r="I115">
        <v>2026</v>
      </c>
      <c r="J115" t="s">
        <v>1554</v>
      </c>
      <c r="K115" t="s">
        <v>1556</v>
      </c>
      <c r="L115">
        <v>1790865</v>
      </c>
      <c r="M115">
        <v>1586255</v>
      </c>
      <c r="N115">
        <v>204610</v>
      </c>
      <c r="O115">
        <v>39</v>
      </c>
      <c r="P115" t="str">
        <f t="shared" si="3"/>
        <v>adult</v>
      </c>
      <c r="Q115" t="s">
        <v>1559</v>
      </c>
      <c r="R115" t="s">
        <v>1561</v>
      </c>
      <c r="S115" t="s">
        <v>1568</v>
      </c>
      <c r="T115">
        <v>1458851</v>
      </c>
      <c r="U115">
        <v>3</v>
      </c>
      <c r="V115" t="s">
        <v>1571</v>
      </c>
      <c r="W115" t="s">
        <v>1591</v>
      </c>
      <c r="X115">
        <v>11.43</v>
      </c>
    </row>
    <row r="116" spans="1:24" x14ac:dyDescent="0.25">
      <c r="A116" t="s">
        <v>136</v>
      </c>
      <c r="B116" s="4">
        <v>45878</v>
      </c>
      <c r="C116" s="4" t="str">
        <f t="shared" si="2"/>
        <v>Aug</v>
      </c>
      <c r="D116" t="s">
        <v>1522</v>
      </c>
      <c r="E116" t="s">
        <v>1526</v>
      </c>
      <c r="F116" t="s">
        <v>1537</v>
      </c>
      <c r="G116" t="s">
        <v>1545</v>
      </c>
      <c r="H116" t="s">
        <v>4</v>
      </c>
      <c r="I116">
        <v>2025</v>
      </c>
      <c r="J116" t="s">
        <v>1554</v>
      </c>
      <c r="K116" t="s">
        <v>1557</v>
      </c>
      <c r="L116">
        <v>1269422</v>
      </c>
      <c r="M116">
        <v>1097145</v>
      </c>
      <c r="N116">
        <v>172277</v>
      </c>
      <c r="O116">
        <v>45</v>
      </c>
      <c r="P116" t="str">
        <f t="shared" si="3"/>
        <v>adult</v>
      </c>
      <c r="Q116" t="s">
        <v>1558</v>
      </c>
      <c r="R116" t="s">
        <v>1566</v>
      </c>
      <c r="S116" t="s">
        <v>1569</v>
      </c>
      <c r="T116">
        <v>262351</v>
      </c>
      <c r="U116">
        <v>1</v>
      </c>
      <c r="V116" t="s">
        <v>1585</v>
      </c>
      <c r="W116" t="s">
        <v>1594</v>
      </c>
      <c r="X116">
        <v>13.57</v>
      </c>
    </row>
    <row r="117" spans="1:24" x14ac:dyDescent="0.25">
      <c r="A117" t="s">
        <v>137</v>
      </c>
      <c r="B117" s="4">
        <v>45817</v>
      </c>
      <c r="C117" s="4" t="str">
        <f t="shared" si="2"/>
        <v>Jun</v>
      </c>
      <c r="D117" t="s">
        <v>1522</v>
      </c>
      <c r="E117" t="s">
        <v>1525</v>
      </c>
      <c r="F117" t="s">
        <v>1530</v>
      </c>
      <c r="G117" t="s">
        <v>1542</v>
      </c>
      <c r="H117" t="s">
        <v>4</v>
      </c>
      <c r="I117">
        <v>2025</v>
      </c>
      <c r="J117" t="s">
        <v>1554</v>
      </c>
      <c r="K117" t="s">
        <v>1556</v>
      </c>
      <c r="L117">
        <v>1283271</v>
      </c>
      <c r="M117">
        <v>1158376</v>
      </c>
      <c r="N117">
        <v>124895</v>
      </c>
      <c r="O117">
        <v>34</v>
      </c>
      <c r="P117" t="str">
        <f t="shared" si="3"/>
        <v>adult</v>
      </c>
      <c r="Q117" t="s">
        <v>1559</v>
      </c>
      <c r="R117" t="s">
        <v>1564</v>
      </c>
      <c r="S117" t="s">
        <v>1567</v>
      </c>
      <c r="T117">
        <v>548971</v>
      </c>
      <c r="U117">
        <v>4</v>
      </c>
      <c r="V117" t="s">
        <v>1584</v>
      </c>
      <c r="W117" t="s">
        <v>1592</v>
      </c>
      <c r="X117">
        <v>9.73</v>
      </c>
    </row>
    <row r="118" spans="1:24" x14ac:dyDescent="0.25">
      <c r="A118" t="s">
        <v>138</v>
      </c>
      <c r="B118" s="4">
        <v>46244</v>
      </c>
      <c r="C118" s="4" t="str">
        <f t="shared" si="2"/>
        <v>Aug</v>
      </c>
      <c r="D118" t="s">
        <v>1522</v>
      </c>
      <c r="E118" t="s">
        <v>1523</v>
      </c>
      <c r="F118" t="s">
        <v>1535</v>
      </c>
      <c r="G118" t="s">
        <v>1543</v>
      </c>
      <c r="H118" t="s">
        <v>4</v>
      </c>
      <c r="I118">
        <v>2024</v>
      </c>
      <c r="J118" t="s">
        <v>1554</v>
      </c>
      <c r="K118" t="s">
        <v>1556</v>
      </c>
      <c r="L118">
        <v>1785352</v>
      </c>
      <c r="M118">
        <v>1529480</v>
      </c>
      <c r="N118">
        <v>255872</v>
      </c>
      <c r="O118">
        <v>44</v>
      </c>
      <c r="P118" t="str">
        <f t="shared" si="3"/>
        <v>adult</v>
      </c>
      <c r="Q118" t="s">
        <v>1559</v>
      </c>
      <c r="R118" t="s">
        <v>1566</v>
      </c>
      <c r="S118" t="s">
        <v>1570</v>
      </c>
      <c r="T118">
        <v>2044256</v>
      </c>
      <c r="U118">
        <v>1</v>
      </c>
      <c r="V118" t="s">
        <v>1576</v>
      </c>
      <c r="W118" t="s">
        <v>1594</v>
      </c>
      <c r="X118">
        <v>14.33</v>
      </c>
    </row>
    <row r="119" spans="1:24" x14ac:dyDescent="0.25">
      <c r="A119" t="s">
        <v>139</v>
      </c>
      <c r="B119" s="4">
        <v>46192</v>
      </c>
      <c r="C119" s="4" t="str">
        <f t="shared" si="2"/>
        <v>Jun</v>
      </c>
      <c r="D119" t="s">
        <v>1522</v>
      </c>
      <c r="E119" t="s">
        <v>1523</v>
      </c>
      <c r="F119" t="s">
        <v>1528</v>
      </c>
      <c r="G119" t="s">
        <v>1546</v>
      </c>
      <c r="H119" t="s">
        <v>1551</v>
      </c>
      <c r="I119">
        <v>2025</v>
      </c>
      <c r="J119" t="s">
        <v>1554</v>
      </c>
      <c r="K119" t="s">
        <v>1557</v>
      </c>
      <c r="L119">
        <v>1047904</v>
      </c>
      <c r="M119">
        <v>897858</v>
      </c>
      <c r="N119">
        <v>150046</v>
      </c>
      <c r="O119">
        <v>34</v>
      </c>
      <c r="P119" t="str">
        <f t="shared" si="3"/>
        <v>adult</v>
      </c>
      <c r="Q119" t="s">
        <v>1558</v>
      </c>
      <c r="R119" t="s">
        <v>1565</v>
      </c>
      <c r="S119" t="s">
        <v>1570</v>
      </c>
      <c r="T119">
        <v>1075753</v>
      </c>
      <c r="U119">
        <v>2</v>
      </c>
      <c r="V119" t="s">
        <v>1582</v>
      </c>
      <c r="W119" t="s">
        <v>1592</v>
      </c>
      <c r="X119">
        <v>14.32</v>
      </c>
    </row>
    <row r="120" spans="1:24" x14ac:dyDescent="0.25">
      <c r="A120" t="s">
        <v>140</v>
      </c>
      <c r="B120" s="4">
        <v>46034</v>
      </c>
      <c r="C120" s="4" t="str">
        <f t="shared" si="2"/>
        <v>Jan</v>
      </c>
      <c r="D120" t="s">
        <v>1522</v>
      </c>
      <c r="E120" t="s">
        <v>1526</v>
      </c>
      <c r="F120" t="s">
        <v>1534</v>
      </c>
      <c r="G120" t="s">
        <v>1541</v>
      </c>
      <c r="H120" t="s">
        <v>4</v>
      </c>
      <c r="I120">
        <v>2026</v>
      </c>
      <c r="J120" t="s">
        <v>1554</v>
      </c>
      <c r="K120" t="s">
        <v>1557</v>
      </c>
      <c r="L120">
        <v>1459992</v>
      </c>
      <c r="M120">
        <v>1241429</v>
      </c>
      <c r="N120">
        <v>218563</v>
      </c>
      <c r="O120">
        <v>54</v>
      </c>
      <c r="P120" t="str">
        <f t="shared" si="3"/>
        <v>senior</v>
      </c>
      <c r="Q120" t="s">
        <v>1558</v>
      </c>
      <c r="R120" t="s">
        <v>1563</v>
      </c>
      <c r="S120" t="s">
        <v>1568</v>
      </c>
      <c r="T120">
        <v>1690129</v>
      </c>
      <c r="U120">
        <v>5</v>
      </c>
      <c r="V120" t="s">
        <v>1581</v>
      </c>
      <c r="W120" t="s">
        <v>1591</v>
      </c>
      <c r="X120">
        <v>14.97</v>
      </c>
    </row>
    <row r="121" spans="1:24" x14ac:dyDescent="0.25">
      <c r="A121" t="s">
        <v>141</v>
      </c>
      <c r="B121" s="4">
        <v>46029</v>
      </c>
      <c r="C121" s="4" t="str">
        <f t="shared" si="2"/>
        <v>Jan</v>
      </c>
      <c r="D121" t="s">
        <v>1522</v>
      </c>
      <c r="E121" t="s">
        <v>1524</v>
      </c>
      <c r="F121" t="s">
        <v>1537</v>
      </c>
      <c r="G121" t="s">
        <v>1544</v>
      </c>
      <c r="H121" t="s">
        <v>1551</v>
      </c>
      <c r="I121">
        <v>2025</v>
      </c>
      <c r="J121" t="s">
        <v>1554</v>
      </c>
      <c r="K121" t="s">
        <v>1556</v>
      </c>
      <c r="L121">
        <v>754388</v>
      </c>
      <c r="M121">
        <v>630854</v>
      </c>
      <c r="N121">
        <v>123534</v>
      </c>
      <c r="O121">
        <v>34</v>
      </c>
      <c r="P121" t="str">
        <f t="shared" si="3"/>
        <v>adult</v>
      </c>
      <c r="Q121" t="s">
        <v>1558</v>
      </c>
      <c r="R121" t="s">
        <v>1564</v>
      </c>
      <c r="S121" t="s">
        <v>1567</v>
      </c>
      <c r="T121">
        <v>1355885</v>
      </c>
      <c r="U121">
        <v>2</v>
      </c>
      <c r="V121" t="s">
        <v>1581</v>
      </c>
      <c r="W121" t="s">
        <v>1591</v>
      </c>
      <c r="X121">
        <v>16.38</v>
      </c>
    </row>
    <row r="122" spans="1:24" x14ac:dyDescent="0.25">
      <c r="A122" t="s">
        <v>142</v>
      </c>
      <c r="B122" s="4">
        <v>45701</v>
      </c>
      <c r="C122" s="4" t="str">
        <f t="shared" si="2"/>
        <v>Feb</v>
      </c>
      <c r="D122" t="s">
        <v>1522</v>
      </c>
      <c r="E122" t="s">
        <v>1526</v>
      </c>
      <c r="F122" t="s">
        <v>1536</v>
      </c>
      <c r="G122" t="s">
        <v>1540</v>
      </c>
      <c r="H122" t="s">
        <v>1550</v>
      </c>
      <c r="I122">
        <v>2024</v>
      </c>
      <c r="J122" t="s">
        <v>1554</v>
      </c>
      <c r="K122" t="s">
        <v>1556</v>
      </c>
      <c r="L122">
        <v>1117719</v>
      </c>
      <c r="M122">
        <v>989658</v>
      </c>
      <c r="N122">
        <v>128061</v>
      </c>
      <c r="O122">
        <v>33</v>
      </c>
      <c r="P122" t="str">
        <f t="shared" si="3"/>
        <v>adult</v>
      </c>
      <c r="Q122" t="s">
        <v>1558</v>
      </c>
      <c r="R122" t="s">
        <v>1566</v>
      </c>
      <c r="S122" t="s">
        <v>1567</v>
      </c>
      <c r="T122">
        <v>603374</v>
      </c>
      <c r="U122">
        <v>2</v>
      </c>
      <c r="V122" t="s">
        <v>1578</v>
      </c>
      <c r="W122" t="s">
        <v>1591</v>
      </c>
      <c r="X122">
        <v>11.46</v>
      </c>
    </row>
    <row r="123" spans="1:24" x14ac:dyDescent="0.25">
      <c r="A123" t="s">
        <v>143</v>
      </c>
      <c r="B123" s="4">
        <v>46067</v>
      </c>
      <c r="C123" s="4" t="str">
        <f t="shared" si="2"/>
        <v>Feb</v>
      </c>
      <c r="D123" t="s">
        <v>1522</v>
      </c>
      <c r="E123" t="s">
        <v>1527</v>
      </c>
      <c r="F123" t="s">
        <v>1535</v>
      </c>
      <c r="G123" t="s">
        <v>1546</v>
      </c>
      <c r="H123" t="s">
        <v>1550</v>
      </c>
      <c r="I123">
        <v>2026</v>
      </c>
      <c r="J123" t="s">
        <v>1554</v>
      </c>
      <c r="K123" t="s">
        <v>1556</v>
      </c>
      <c r="L123">
        <v>1565855</v>
      </c>
      <c r="M123">
        <v>1322422</v>
      </c>
      <c r="N123">
        <v>243433</v>
      </c>
      <c r="O123">
        <v>31</v>
      </c>
      <c r="P123" t="str">
        <f t="shared" si="3"/>
        <v>adult</v>
      </c>
      <c r="Q123" t="s">
        <v>1558</v>
      </c>
      <c r="R123" t="s">
        <v>1561</v>
      </c>
      <c r="S123" t="s">
        <v>1568</v>
      </c>
      <c r="T123">
        <v>487698</v>
      </c>
      <c r="U123">
        <v>5</v>
      </c>
      <c r="V123" t="s">
        <v>1589</v>
      </c>
      <c r="W123" t="s">
        <v>1591</v>
      </c>
      <c r="X123">
        <v>15.55</v>
      </c>
    </row>
    <row r="124" spans="1:24" x14ac:dyDescent="0.25">
      <c r="A124" t="s">
        <v>144</v>
      </c>
      <c r="B124" s="4">
        <v>45893</v>
      </c>
      <c r="C124" s="4" t="str">
        <f t="shared" si="2"/>
        <v>Aug</v>
      </c>
      <c r="D124" t="s">
        <v>1522</v>
      </c>
      <c r="E124" t="s">
        <v>1527</v>
      </c>
      <c r="F124" t="s">
        <v>1535</v>
      </c>
      <c r="G124" t="s">
        <v>1548</v>
      </c>
      <c r="H124" t="s">
        <v>4</v>
      </c>
      <c r="I124">
        <v>2022</v>
      </c>
      <c r="J124" t="s">
        <v>1554</v>
      </c>
      <c r="K124" t="s">
        <v>1556</v>
      </c>
      <c r="L124">
        <v>1432285</v>
      </c>
      <c r="M124">
        <v>1307367</v>
      </c>
      <c r="N124">
        <v>124918</v>
      </c>
      <c r="O124">
        <v>32</v>
      </c>
      <c r="P124" t="str">
        <f t="shared" si="3"/>
        <v>adult</v>
      </c>
      <c r="Q124" t="s">
        <v>1559</v>
      </c>
      <c r="R124" t="s">
        <v>1565</v>
      </c>
      <c r="S124" t="s">
        <v>1570</v>
      </c>
      <c r="T124">
        <v>507459</v>
      </c>
      <c r="U124">
        <v>4</v>
      </c>
      <c r="V124" t="s">
        <v>1585</v>
      </c>
      <c r="W124" t="s">
        <v>1594</v>
      </c>
      <c r="X124">
        <v>8.7200000000000006</v>
      </c>
    </row>
    <row r="125" spans="1:24" x14ac:dyDescent="0.25">
      <c r="A125" t="s">
        <v>145</v>
      </c>
      <c r="B125" s="4">
        <v>46067</v>
      </c>
      <c r="C125" s="4" t="str">
        <f t="shared" si="2"/>
        <v>Feb</v>
      </c>
      <c r="D125" t="s">
        <v>1522</v>
      </c>
      <c r="E125" t="s">
        <v>1525</v>
      </c>
      <c r="F125" t="s">
        <v>1535</v>
      </c>
      <c r="G125" t="s">
        <v>1546</v>
      </c>
      <c r="H125" t="s">
        <v>4</v>
      </c>
      <c r="I125">
        <v>2024</v>
      </c>
      <c r="J125" t="s">
        <v>1554</v>
      </c>
      <c r="K125" t="s">
        <v>1557</v>
      </c>
      <c r="L125">
        <v>1251884</v>
      </c>
      <c r="M125">
        <v>1203557</v>
      </c>
      <c r="N125">
        <v>48327</v>
      </c>
      <c r="O125">
        <v>35</v>
      </c>
      <c r="P125" t="str">
        <f t="shared" si="3"/>
        <v>adult</v>
      </c>
      <c r="Q125" t="s">
        <v>1558</v>
      </c>
      <c r="R125" t="s">
        <v>1563</v>
      </c>
      <c r="S125" t="s">
        <v>1568</v>
      </c>
      <c r="T125">
        <v>871233</v>
      </c>
      <c r="U125">
        <v>5</v>
      </c>
      <c r="V125" t="s">
        <v>1589</v>
      </c>
      <c r="W125" t="s">
        <v>1591</v>
      </c>
      <c r="X125">
        <v>3.86</v>
      </c>
    </row>
    <row r="126" spans="1:24" x14ac:dyDescent="0.25">
      <c r="A126" t="s">
        <v>146</v>
      </c>
      <c r="B126" s="4">
        <v>45893</v>
      </c>
      <c r="C126" s="4" t="str">
        <f t="shared" si="2"/>
        <v>Aug</v>
      </c>
      <c r="D126" t="s">
        <v>1522</v>
      </c>
      <c r="E126" t="s">
        <v>1523</v>
      </c>
      <c r="F126" t="s">
        <v>1530</v>
      </c>
      <c r="G126" t="s">
        <v>1548</v>
      </c>
      <c r="H126" t="s">
        <v>4</v>
      </c>
      <c r="I126">
        <v>2026</v>
      </c>
      <c r="J126" t="s">
        <v>1554</v>
      </c>
      <c r="K126" t="s">
        <v>1557</v>
      </c>
      <c r="L126">
        <v>1371455</v>
      </c>
      <c r="M126">
        <v>1163327</v>
      </c>
      <c r="N126">
        <v>208128</v>
      </c>
      <c r="O126">
        <v>63</v>
      </c>
      <c r="P126" t="str">
        <f t="shared" si="3"/>
        <v>senior</v>
      </c>
      <c r="Q126" t="s">
        <v>1559</v>
      </c>
      <c r="R126" t="s">
        <v>1562</v>
      </c>
      <c r="S126" t="s">
        <v>1567</v>
      </c>
      <c r="T126">
        <v>296937</v>
      </c>
      <c r="U126">
        <v>2</v>
      </c>
      <c r="V126" t="s">
        <v>1585</v>
      </c>
      <c r="W126" t="s">
        <v>1594</v>
      </c>
      <c r="X126">
        <v>15.18</v>
      </c>
    </row>
    <row r="127" spans="1:24" x14ac:dyDescent="0.25">
      <c r="A127" t="s">
        <v>147</v>
      </c>
      <c r="B127" s="4">
        <v>45828</v>
      </c>
      <c r="C127" s="4" t="str">
        <f t="shared" si="2"/>
        <v>Jun</v>
      </c>
      <c r="D127" t="s">
        <v>1522</v>
      </c>
      <c r="E127" t="s">
        <v>1525</v>
      </c>
      <c r="F127" t="s">
        <v>1530</v>
      </c>
      <c r="G127" t="s">
        <v>1538</v>
      </c>
      <c r="H127" t="s">
        <v>4</v>
      </c>
      <c r="I127">
        <v>2025</v>
      </c>
      <c r="J127" t="s">
        <v>1554</v>
      </c>
      <c r="K127" t="s">
        <v>1557</v>
      </c>
      <c r="L127">
        <v>1338415</v>
      </c>
      <c r="M127">
        <v>1153635</v>
      </c>
      <c r="N127">
        <v>184780</v>
      </c>
      <c r="O127">
        <v>44</v>
      </c>
      <c r="P127" t="str">
        <f t="shared" si="3"/>
        <v>adult</v>
      </c>
      <c r="Q127" t="s">
        <v>1559</v>
      </c>
      <c r="R127" t="s">
        <v>1565</v>
      </c>
      <c r="S127" t="s">
        <v>1567</v>
      </c>
      <c r="T127">
        <v>695982</v>
      </c>
      <c r="U127">
        <v>5</v>
      </c>
      <c r="V127" t="s">
        <v>1584</v>
      </c>
      <c r="W127" t="s">
        <v>1592</v>
      </c>
      <c r="X127">
        <v>13.81</v>
      </c>
    </row>
    <row r="128" spans="1:24" x14ac:dyDescent="0.25">
      <c r="A128" t="s">
        <v>148</v>
      </c>
      <c r="B128" s="4">
        <v>45749</v>
      </c>
      <c r="C128" s="4" t="str">
        <f t="shared" si="2"/>
        <v>Apr</v>
      </c>
      <c r="D128" t="s">
        <v>1522</v>
      </c>
      <c r="E128" t="s">
        <v>1525</v>
      </c>
      <c r="F128" t="s">
        <v>1533</v>
      </c>
      <c r="G128" t="s">
        <v>1540</v>
      </c>
      <c r="H128" t="s">
        <v>1550</v>
      </c>
      <c r="I128">
        <v>2023</v>
      </c>
      <c r="J128" t="s">
        <v>1554</v>
      </c>
      <c r="K128" t="s">
        <v>1557</v>
      </c>
      <c r="L128">
        <v>1612652</v>
      </c>
      <c r="M128">
        <v>1344526</v>
      </c>
      <c r="N128">
        <v>268126</v>
      </c>
      <c r="O128">
        <v>51</v>
      </c>
      <c r="P128" t="str">
        <f t="shared" si="3"/>
        <v>senior</v>
      </c>
      <c r="Q128" t="s">
        <v>1559</v>
      </c>
      <c r="R128" t="s">
        <v>1566</v>
      </c>
      <c r="S128" t="s">
        <v>1567</v>
      </c>
      <c r="T128">
        <v>1695549</v>
      </c>
      <c r="U128">
        <v>3</v>
      </c>
      <c r="V128" t="s">
        <v>1573</v>
      </c>
      <c r="W128" t="s">
        <v>1592</v>
      </c>
      <c r="X128">
        <v>16.63</v>
      </c>
    </row>
    <row r="129" spans="1:24" x14ac:dyDescent="0.25">
      <c r="A129" t="s">
        <v>149</v>
      </c>
      <c r="B129" s="4">
        <v>46116</v>
      </c>
      <c r="C129" s="4" t="str">
        <f t="shared" si="2"/>
        <v>Apr</v>
      </c>
      <c r="D129" t="s">
        <v>1522</v>
      </c>
      <c r="E129" t="s">
        <v>1523</v>
      </c>
      <c r="F129" t="s">
        <v>1532</v>
      </c>
      <c r="G129" t="s">
        <v>1545</v>
      </c>
      <c r="H129" t="s">
        <v>1550</v>
      </c>
      <c r="I129">
        <v>2025</v>
      </c>
      <c r="J129" t="s">
        <v>1554</v>
      </c>
      <c r="K129" t="s">
        <v>1557</v>
      </c>
      <c r="L129">
        <v>1620969</v>
      </c>
      <c r="M129">
        <v>1465789</v>
      </c>
      <c r="N129">
        <v>155180</v>
      </c>
      <c r="O129">
        <v>21</v>
      </c>
      <c r="P129" t="str">
        <f t="shared" si="3"/>
        <v>young</v>
      </c>
      <c r="Q129" t="s">
        <v>1559</v>
      </c>
      <c r="R129" t="s">
        <v>1563</v>
      </c>
      <c r="S129" t="s">
        <v>1567</v>
      </c>
      <c r="T129">
        <v>456136</v>
      </c>
      <c r="U129">
        <v>2</v>
      </c>
      <c r="V129" t="s">
        <v>1580</v>
      </c>
      <c r="W129" t="s">
        <v>1592</v>
      </c>
      <c r="X129">
        <v>9.57</v>
      </c>
    </row>
    <row r="130" spans="1:24" x14ac:dyDescent="0.25">
      <c r="A130" t="s">
        <v>150</v>
      </c>
      <c r="B130" s="4">
        <v>46053</v>
      </c>
      <c r="C130" s="4" t="str">
        <f t="shared" si="2"/>
        <v>Jan</v>
      </c>
      <c r="D130" t="s">
        <v>1522</v>
      </c>
      <c r="E130" t="s">
        <v>1524</v>
      </c>
      <c r="F130" t="s">
        <v>1533</v>
      </c>
      <c r="G130" t="s">
        <v>1538</v>
      </c>
      <c r="H130" t="s">
        <v>1551</v>
      </c>
      <c r="I130">
        <v>2026</v>
      </c>
      <c r="J130" t="s">
        <v>1554</v>
      </c>
      <c r="K130" t="s">
        <v>1557</v>
      </c>
      <c r="L130">
        <v>973932</v>
      </c>
      <c r="M130">
        <v>832241</v>
      </c>
      <c r="N130">
        <v>141691</v>
      </c>
      <c r="O130">
        <v>61</v>
      </c>
      <c r="P130" t="str">
        <f t="shared" si="3"/>
        <v>senior</v>
      </c>
      <c r="Q130" t="s">
        <v>1558</v>
      </c>
      <c r="R130" t="s">
        <v>1566</v>
      </c>
      <c r="S130" t="s">
        <v>1568</v>
      </c>
      <c r="T130">
        <v>1442959</v>
      </c>
      <c r="U130">
        <v>1</v>
      </c>
      <c r="V130" t="s">
        <v>1581</v>
      </c>
      <c r="W130" t="s">
        <v>1591</v>
      </c>
      <c r="X130">
        <v>14.55</v>
      </c>
    </row>
    <row r="131" spans="1:24" x14ac:dyDescent="0.25">
      <c r="A131" t="s">
        <v>151</v>
      </c>
      <c r="B131" s="4">
        <v>45787</v>
      </c>
      <c r="C131" s="4" t="str">
        <f t="shared" ref="C131:C194" si="4">TEXT(B131,"MMM")</f>
        <v>May</v>
      </c>
      <c r="D131" t="s">
        <v>1522</v>
      </c>
      <c r="E131" t="s">
        <v>1523</v>
      </c>
      <c r="F131" t="s">
        <v>1536</v>
      </c>
      <c r="G131" t="s">
        <v>1546</v>
      </c>
      <c r="H131" t="s">
        <v>1551</v>
      </c>
      <c r="I131">
        <v>2026</v>
      </c>
      <c r="J131" t="s">
        <v>1554</v>
      </c>
      <c r="K131" t="s">
        <v>1556</v>
      </c>
      <c r="L131">
        <v>1000088</v>
      </c>
      <c r="M131">
        <v>830157</v>
      </c>
      <c r="N131">
        <v>169931</v>
      </c>
      <c r="O131">
        <v>30</v>
      </c>
      <c r="P131" t="str">
        <f t="shared" ref="P131:P194" si="5">IF(O131&gt;50,"senior",IF(O131&gt;30,"adult","young"))</f>
        <v>young</v>
      </c>
      <c r="Q131" t="s">
        <v>1558</v>
      </c>
      <c r="R131" t="s">
        <v>1561</v>
      </c>
      <c r="S131" t="s">
        <v>1568</v>
      </c>
      <c r="T131">
        <v>1917460</v>
      </c>
      <c r="U131">
        <v>2</v>
      </c>
      <c r="V131" t="s">
        <v>1572</v>
      </c>
      <c r="W131" t="s">
        <v>1592</v>
      </c>
      <c r="X131">
        <v>16.989999999999998</v>
      </c>
    </row>
    <row r="132" spans="1:24" x14ac:dyDescent="0.25">
      <c r="A132" t="s">
        <v>152</v>
      </c>
      <c r="B132" s="4">
        <v>46107</v>
      </c>
      <c r="C132" s="4" t="str">
        <f t="shared" si="4"/>
        <v>Mar</v>
      </c>
      <c r="D132" t="s">
        <v>1522</v>
      </c>
      <c r="E132" t="s">
        <v>1526</v>
      </c>
      <c r="F132" t="s">
        <v>1528</v>
      </c>
      <c r="G132" t="s">
        <v>1538</v>
      </c>
      <c r="H132" t="s">
        <v>1552</v>
      </c>
      <c r="I132">
        <v>2024</v>
      </c>
      <c r="J132" t="s">
        <v>1555</v>
      </c>
      <c r="K132" t="s">
        <v>1556</v>
      </c>
      <c r="L132">
        <v>2022789</v>
      </c>
      <c r="M132">
        <v>1848048</v>
      </c>
      <c r="N132">
        <v>174741</v>
      </c>
      <c r="O132">
        <v>27</v>
      </c>
      <c r="P132" t="str">
        <f t="shared" si="5"/>
        <v>young</v>
      </c>
      <c r="Q132" t="s">
        <v>1558</v>
      </c>
      <c r="R132" t="s">
        <v>1564</v>
      </c>
      <c r="S132" t="s">
        <v>1568</v>
      </c>
      <c r="T132">
        <v>992859</v>
      </c>
      <c r="U132">
        <v>1</v>
      </c>
      <c r="V132" t="s">
        <v>1586</v>
      </c>
      <c r="W132" t="s">
        <v>1591</v>
      </c>
      <c r="X132">
        <v>8.64</v>
      </c>
    </row>
    <row r="133" spans="1:24" x14ac:dyDescent="0.25">
      <c r="A133" t="s">
        <v>153</v>
      </c>
      <c r="B133" s="4">
        <v>46133</v>
      </c>
      <c r="C133" s="4" t="str">
        <f t="shared" si="4"/>
        <v>Apr</v>
      </c>
      <c r="D133" t="s">
        <v>1522</v>
      </c>
      <c r="E133" t="s">
        <v>1523</v>
      </c>
      <c r="F133" t="s">
        <v>1536</v>
      </c>
      <c r="G133" t="s">
        <v>1539</v>
      </c>
      <c r="H133" t="s">
        <v>1550</v>
      </c>
      <c r="I133">
        <v>2024</v>
      </c>
      <c r="J133" t="s">
        <v>1554</v>
      </c>
      <c r="K133" t="s">
        <v>1557</v>
      </c>
      <c r="L133">
        <v>1389826</v>
      </c>
      <c r="M133">
        <v>1239963</v>
      </c>
      <c r="N133">
        <v>149863</v>
      </c>
      <c r="O133">
        <v>49</v>
      </c>
      <c r="P133" t="str">
        <f t="shared" si="5"/>
        <v>adult</v>
      </c>
      <c r="Q133" t="s">
        <v>1558</v>
      </c>
      <c r="R133" t="s">
        <v>1565</v>
      </c>
      <c r="S133" t="s">
        <v>1567</v>
      </c>
      <c r="T133">
        <v>650390</v>
      </c>
      <c r="U133">
        <v>2</v>
      </c>
      <c r="V133" t="s">
        <v>1580</v>
      </c>
      <c r="W133" t="s">
        <v>1592</v>
      </c>
      <c r="X133">
        <v>10.78</v>
      </c>
    </row>
    <row r="134" spans="1:24" x14ac:dyDescent="0.25">
      <c r="A134" t="s">
        <v>154</v>
      </c>
      <c r="B134" s="4">
        <v>45904</v>
      </c>
      <c r="C134" s="4" t="str">
        <f t="shared" si="4"/>
        <v>Sep</v>
      </c>
      <c r="D134" t="s">
        <v>1522</v>
      </c>
      <c r="E134" t="s">
        <v>1525</v>
      </c>
      <c r="F134" t="s">
        <v>1534</v>
      </c>
      <c r="G134" t="s">
        <v>1547</v>
      </c>
      <c r="H134" t="s">
        <v>1550</v>
      </c>
      <c r="I134">
        <v>2024</v>
      </c>
      <c r="J134" t="s">
        <v>1554</v>
      </c>
      <c r="K134" t="s">
        <v>1556</v>
      </c>
      <c r="L134">
        <v>1424115</v>
      </c>
      <c r="M134">
        <v>1339519</v>
      </c>
      <c r="N134">
        <v>84596</v>
      </c>
      <c r="O134">
        <v>61</v>
      </c>
      <c r="P134" t="str">
        <f t="shared" si="5"/>
        <v>senior</v>
      </c>
      <c r="Q134" t="s">
        <v>1558</v>
      </c>
      <c r="R134" t="s">
        <v>1564</v>
      </c>
      <c r="S134" t="s">
        <v>1567</v>
      </c>
      <c r="T134">
        <v>500691</v>
      </c>
      <c r="U134">
        <v>2</v>
      </c>
      <c r="V134" t="s">
        <v>1577</v>
      </c>
      <c r="W134" t="s">
        <v>1594</v>
      </c>
      <c r="X134">
        <v>5.94</v>
      </c>
    </row>
    <row r="135" spans="1:24" x14ac:dyDescent="0.25">
      <c r="A135" t="s">
        <v>155</v>
      </c>
      <c r="B135" s="4">
        <v>45972</v>
      </c>
      <c r="C135" s="4" t="str">
        <f t="shared" si="4"/>
        <v>Nov</v>
      </c>
      <c r="D135" t="s">
        <v>1522</v>
      </c>
      <c r="E135" t="s">
        <v>1526</v>
      </c>
      <c r="F135" t="s">
        <v>1533</v>
      </c>
      <c r="G135" t="s">
        <v>1545</v>
      </c>
      <c r="H135" t="s">
        <v>1550</v>
      </c>
      <c r="I135">
        <v>2023</v>
      </c>
      <c r="J135" t="s">
        <v>1554</v>
      </c>
      <c r="K135" t="s">
        <v>1557</v>
      </c>
      <c r="L135">
        <v>1278583</v>
      </c>
      <c r="M135">
        <v>1096439</v>
      </c>
      <c r="N135">
        <v>182144</v>
      </c>
      <c r="O135">
        <v>21</v>
      </c>
      <c r="P135" t="str">
        <f t="shared" si="5"/>
        <v>young</v>
      </c>
      <c r="Q135" t="s">
        <v>1558</v>
      </c>
      <c r="R135" t="s">
        <v>1563</v>
      </c>
      <c r="S135" t="s">
        <v>1569</v>
      </c>
      <c r="T135">
        <v>160634</v>
      </c>
      <c r="U135">
        <v>2</v>
      </c>
      <c r="V135" t="s">
        <v>1583</v>
      </c>
      <c r="W135" t="s">
        <v>1593</v>
      </c>
      <c r="X135">
        <v>14.25</v>
      </c>
    </row>
    <row r="136" spans="1:24" x14ac:dyDescent="0.25">
      <c r="A136" t="s">
        <v>156</v>
      </c>
      <c r="B136" s="4">
        <v>45850</v>
      </c>
      <c r="C136" s="4" t="str">
        <f t="shared" si="4"/>
        <v>Jul</v>
      </c>
      <c r="D136" t="s">
        <v>1522</v>
      </c>
      <c r="E136" t="s">
        <v>1526</v>
      </c>
      <c r="F136" t="s">
        <v>1530</v>
      </c>
      <c r="G136" t="s">
        <v>1541</v>
      </c>
      <c r="H136" t="s">
        <v>4</v>
      </c>
      <c r="I136">
        <v>2023</v>
      </c>
      <c r="J136" t="s">
        <v>1554</v>
      </c>
      <c r="K136" t="s">
        <v>1557</v>
      </c>
      <c r="L136">
        <v>1284032</v>
      </c>
      <c r="M136">
        <v>1148642</v>
      </c>
      <c r="N136">
        <v>135390</v>
      </c>
      <c r="O136">
        <v>57</v>
      </c>
      <c r="P136" t="str">
        <f t="shared" si="5"/>
        <v>senior</v>
      </c>
      <c r="Q136" t="s">
        <v>1558</v>
      </c>
      <c r="R136" t="s">
        <v>1561</v>
      </c>
      <c r="S136" t="s">
        <v>1567</v>
      </c>
      <c r="T136">
        <v>1487752</v>
      </c>
      <c r="U136">
        <v>2</v>
      </c>
      <c r="V136" t="s">
        <v>1579</v>
      </c>
      <c r="W136" t="s">
        <v>1594</v>
      </c>
      <c r="X136">
        <v>10.54</v>
      </c>
    </row>
    <row r="137" spans="1:24" x14ac:dyDescent="0.25">
      <c r="A137" t="s">
        <v>157</v>
      </c>
      <c r="B137" s="4">
        <v>45797</v>
      </c>
      <c r="C137" s="4" t="str">
        <f t="shared" si="4"/>
        <v>May</v>
      </c>
      <c r="D137" t="s">
        <v>1522</v>
      </c>
      <c r="E137" t="s">
        <v>1526</v>
      </c>
      <c r="F137" t="s">
        <v>1536</v>
      </c>
      <c r="G137" t="s">
        <v>1544</v>
      </c>
      <c r="H137" t="s">
        <v>1550</v>
      </c>
      <c r="I137">
        <v>2024</v>
      </c>
      <c r="J137" t="s">
        <v>1554</v>
      </c>
      <c r="K137" t="s">
        <v>1557</v>
      </c>
      <c r="L137">
        <v>1204563</v>
      </c>
      <c r="M137">
        <v>1038448</v>
      </c>
      <c r="N137">
        <v>166115</v>
      </c>
      <c r="O137">
        <v>42</v>
      </c>
      <c r="P137" t="str">
        <f t="shared" si="5"/>
        <v>adult</v>
      </c>
      <c r="Q137" t="s">
        <v>1559</v>
      </c>
      <c r="R137" t="s">
        <v>1561</v>
      </c>
      <c r="S137" t="s">
        <v>1570</v>
      </c>
      <c r="T137">
        <v>1419493</v>
      </c>
      <c r="U137">
        <v>1</v>
      </c>
      <c r="V137" t="s">
        <v>1572</v>
      </c>
      <c r="W137" t="s">
        <v>1592</v>
      </c>
      <c r="X137">
        <v>13.79</v>
      </c>
    </row>
    <row r="138" spans="1:24" x14ac:dyDescent="0.25">
      <c r="A138" t="s">
        <v>158</v>
      </c>
      <c r="B138" s="4">
        <v>45756</v>
      </c>
      <c r="C138" s="4" t="str">
        <f t="shared" si="4"/>
        <v>Apr</v>
      </c>
      <c r="D138" t="s">
        <v>1522</v>
      </c>
      <c r="E138" t="s">
        <v>1525</v>
      </c>
      <c r="F138" t="s">
        <v>1536</v>
      </c>
      <c r="G138" t="s">
        <v>1538</v>
      </c>
      <c r="H138" t="s">
        <v>1550</v>
      </c>
      <c r="I138">
        <v>2025</v>
      </c>
      <c r="J138" t="s">
        <v>1554</v>
      </c>
      <c r="K138" t="s">
        <v>1556</v>
      </c>
      <c r="L138">
        <v>1399247</v>
      </c>
      <c r="M138">
        <v>1267557</v>
      </c>
      <c r="N138">
        <v>131690</v>
      </c>
      <c r="O138">
        <v>22</v>
      </c>
      <c r="P138" t="str">
        <f t="shared" si="5"/>
        <v>young</v>
      </c>
      <c r="Q138" t="s">
        <v>1559</v>
      </c>
      <c r="R138" t="s">
        <v>1564</v>
      </c>
      <c r="S138" t="s">
        <v>1567</v>
      </c>
      <c r="T138">
        <v>2034464</v>
      </c>
      <c r="U138">
        <v>1</v>
      </c>
      <c r="V138" t="s">
        <v>1573</v>
      </c>
      <c r="W138" t="s">
        <v>1592</v>
      </c>
      <c r="X138">
        <v>9.41</v>
      </c>
    </row>
    <row r="139" spans="1:24" x14ac:dyDescent="0.25">
      <c r="A139" t="s">
        <v>159</v>
      </c>
      <c r="B139" s="4">
        <v>45953</v>
      </c>
      <c r="C139" s="4" t="str">
        <f t="shared" si="4"/>
        <v>Oct</v>
      </c>
      <c r="D139" t="s">
        <v>1522</v>
      </c>
      <c r="E139" t="s">
        <v>1524</v>
      </c>
      <c r="F139" t="s">
        <v>1533</v>
      </c>
      <c r="G139" t="s">
        <v>1547</v>
      </c>
      <c r="H139" t="s">
        <v>1550</v>
      </c>
      <c r="I139">
        <v>2025</v>
      </c>
      <c r="J139" t="s">
        <v>1554</v>
      </c>
      <c r="K139" t="s">
        <v>1557</v>
      </c>
      <c r="L139">
        <v>1566133</v>
      </c>
      <c r="M139">
        <v>1492404</v>
      </c>
      <c r="N139">
        <v>73729</v>
      </c>
      <c r="O139">
        <v>56</v>
      </c>
      <c r="P139" t="str">
        <f t="shared" si="5"/>
        <v>senior</v>
      </c>
      <c r="Q139" t="s">
        <v>1559</v>
      </c>
      <c r="R139" t="s">
        <v>1566</v>
      </c>
      <c r="S139" t="s">
        <v>1568</v>
      </c>
      <c r="T139">
        <v>493605</v>
      </c>
      <c r="U139">
        <v>3</v>
      </c>
      <c r="V139" t="s">
        <v>1574</v>
      </c>
      <c r="W139" t="s">
        <v>1593</v>
      </c>
      <c r="X139">
        <v>4.71</v>
      </c>
    </row>
    <row r="140" spans="1:24" x14ac:dyDescent="0.25">
      <c r="A140" t="s">
        <v>160</v>
      </c>
      <c r="B140" s="4">
        <v>46120</v>
      </c>
      <c r="C140" s="4" t="str">
        <f t="shared" si="4"/>
        <v>Apr</v>
      </c>
      <c r="D140" t="s">
        <v>1522</v>
      </c>
      <c r="E140" t="s">
        <v>1525</v>
      </c>
      <c r="F140" t="s">
        <v>1533</v>
      </c>
      <c r="G140" t="s">
        <v>1549</v>
      </c>
      <c r="H140" t="s">
        <v>4</v>
      </c>
      <c r="I140">
        <v>2023</v>
      </c>
      <c r="J140" t="s">
        <v>1554</v>
      </c>
      <c r="K140" t="s">
        <v>1557</v>
      </c>
      <c r="L140">
        <v>1523361</v>
      </c>
      <c r="M140">
        <v>1411812</v>
      </c>
      <c r="N140">
        <v>111549</v>
      </c>
      <c r="O140">
        <v>48</v>
      </c>
      <c r="P140" t="str">
        <f t="shared" si="5"/>
        <v>adult</v>
      </c>
      <c r="Q140" t="s">
        <v>1559</v>
      </c>
      <c r="R140" t="s">
        <v>1561</v>
      </c>
      <c r="S140" t="s">
        <v>1567</v>
      </c>
      <c r="T140">
        <v>1354679</v>
      </c>
      <c r="U140">
        <v>4</v>
      </c>
      <c r="V140" t="s">
        <v>1580</v>
      </c>
      <c r="W140" t="s">
        <v>1592</v>
      </c>
      <c r="X140">
        <v>7.32</v>
      </c>
    </row>
    <row r="141" spans="1:24" x14ac:dyDescent="0.25">
      <c r="A141" t="s">
        <v>161</v>
      </c>
      <c r="B141" s="4">
        <v>46021</v>
      </c>
      <c r="C141" s="4" t="str">
        <f t="shared" si="4"/>
        <v>Dec</v>
      </c>
      <c r="D141" t="s">
        <v>1522</v>
      </c>
      <c r="E141" t="s">
        <v>1526</v>
      </c>
      <c r="F141" t="s">
        <v>1534</v>
      </c>
      <c r="G141" t="s">
        <v>1546</v>
      </c>
      <c r="H141" t="s">
        <v>1550</v>
      </c>
      <c r="I141">
        <v>2026</v>
      </c>
      <c r="J141" t="s">
        <v>1554</v>
      </c>
      <c r="K141" t="s">
        <v>1556</v>
      </c>
      <c r="L141">
        <v>1502447</v>
      </c>
      <c r="M141">
        <v>1316682</v>
      </c>
      <c r="N141">
        <v>185765</v>
      </c>
      <c r="O141">
        <v>35</v>
      </c>
      <c r="P141" t="str">
        <f t="shared" si="5"/>
        <v>adult</v>
      </c>
      <c r="Q141" t="s">
        <v>1558</v>
      </c>
      <c r="R141" t="s">
        <v>1566</v>
      </c>
      <c r="S141" t="s">
        <v>1569</v>
      </c>
      <c r="T141">
        <v>539028</v>
      </c>
      <c r="U141">
        <v>3</v>
      </c>
      <c r="V141" t="s">
        <v>1575</v>
      </c>
      <c r="W141" t="s">
        <v>1593</v>
      </c>
      <c r="X141">
        <v>12.36</v>
      </c>
    </row>
    <row r="142" spans="1:24" x14ac:dyDescent="0.25">
      <c r="A142" t="s">
        <v>162</v>
      </c>
      <c r="B142" s="4">
        <v>45772</v>
      </c>
      <c r="C142" s="4" t="str">
        <f t="shared" si="4"/>
        <v>Apr</v>
      </c>
      <c r="D142" t="s">
        <v>1522</v>
      </c>
      <c r="E142" t="s">
        <v>1523</v>
      </c>
      <c r="F142" t="s">
        <v>1529</v>
      </c>
      <c r="G142" t="s">
        <v>1546</v>
      </c>
      <c r="H142" t="s">
        <v>1551</v>
      </c>
      <c r="I142">
        <v>2024</v>
      </c>
      <c r="J142" t="s">
        <v>1554</v>
      </c>
      <c r="K142" t="s">
        <v>1556</v>
      </c>
      <c r="L142">
        <v>1000613</v>
      </c>
      <c r="M142">
        <v>893629</v>
      </c>
      <c r="N142">
        <v>106984</v>
      </c>
      <c r="O142">
        <v>50</v>
      </c>
      <c r="P142" t="str">
        <f t="shared" si="5"/>
        <v>adult</v>
      </c>
      <c r="Q142" t="s">
        <v>1559</v>
      </c>
      <c r="R142" t="s">
        <v>1566</v>
      </c>
      <c r="S142" t="s">
        <v>1567</v>
      </c>
      <c r="T142">
        <v>1900604</v>
      </c>
      <c r="U142">
        <v>5</v>
      </c>
      <c r="V142" t="s">
        <v>1573</v>
      </c>
      <c r="W142" t="s">
        <v>1592</v>
      </c>
      <c r="X142">
        <v>10.69</v>
      </c>
    </row>
    <row r="143" spans="1:24" x14ac:dyDescent="0.25">
      <c r="A143" t="s">
        <v>163</v>
      </c>
      <c r="B143" s="4">
        <v>45854</v>
      </c>
      <c r="C143" s="4" t="str">
        <f t="shared" si="4"/>
        <v>Jul</v>
      </c>
      <c r="D143" t="s">
        <v>1522</v>
      </c>
      <c r="E143" t="s">
        <v>1523</v>
      </c>
      <c r="F143" t="s">
        <v>1528</v>
      </c>
      <c r="G143" t="s">
        <v>1539</v>
      </c>
      <c r="H143" t="s">
        <v>1551</v>
      </c>
      <c r="I143">
        <v>2023</v>
      </c>
      <c r="J143" t="s">
        <v>1554</v>
      </c>
      <c r="K143" t="s">
        <v>1557</v>
      </c>
      <c r="L143">
        <v>967433</v>
      </c>
      <c r="M143">
        <v>829415</v>
      </c>
      <c r="N143">
        <v>138018</v>
      </c>
      <c r="O143">
        <v>51</v>
      </c>
      <c r="P143" t="str">
        <f t="shared" si="5"/>
        <v>senior</v>
      </c>
      <c r="Q143" t="s">
        <v>1558</v>
      </c>
      <c r="R143" t="s">
        <v>1564</v>
      </c>
      <c r="S143" t="s">
        <v>1568</v>
      </c>
      <c r="T143">
        <v>1959118</v>
      </c>
      <c r="U143">
        <v>3</v>
      </c>
      <c r="V143" t="s">
        <v>1579</v>
      </c>
      <c r="W143" t="s">
        <v>1594</v>
      </c>
      <c r="X143">
        <v>14.27</v>
      </c>
    </row>
    <row r="144" spans="1:24" x14ac:dyDescent="0.25">
      <c r="A144" t="s">
        <v>164</v>
      </c>
      <c r="B144" s="4">
        <v>45930</v>
      </c>
      <c r="C144" s="4" t="str">
        <f t="shared" si="4"/>
        <v>Sep</v>
      </c>
      <c r="D144" t="s">
        <v>1522</v>
      </c>
      <c r="E144" t="s">
        <v>1523</v>
      </c>
      <c r="F144" t="s">
        <v>1533</v>
      </c>
      <c r="G144" t="s">
        <v>1542</v>
      </c>
      <c r="H144" t="s">
        <v>4</v>
      </c>
      <c r="I144">
        <v>2025</v>
      </c>
      <c r="J144" t="s">
        <v>1554</v>
      </c>
      <c r="K144" t="s">
        <v>1557</v>
      </c>
      <c r="L144">
        <v>1842118</v>
      </c>
      <c r="M144">
        <v>1566578</v>
      </c>
      <c r="N144">
        <v>275540</v>
      </c>
      <c r="O144">
        <v>32</v>
      </c>
      <c r="P144" t="str">
        <f t="shared" si="5"/>
        <v>adult</v>
      </c>
      <c r="Q144" t="s">
        <v>1558</v>
      </c>
      <c r="R144" t="s">
        <v>1566</v>
      </c>
      <c r="S144" t="s">
        <v>1570</v>
      </c>
      <c r="T144">
        <v>262951</v>
      </c>
      <c r="U144">
        <v>5</v>
      </c>
      <c r="V144" t="s">
        <v>1577</v>
      </c>
      <c r="W144" t="s">
        <v>1594</v>
      </c>
      <c r="X144">
        <v>14.96</v>
      </c>
    </row>
    <row r="145" spans="1:24" x14ac:dyDescent="0.25">
      <c r="A145" t="s">
        <v>165</v>
      </c>
      <c r="B145" s="4">
        <v>46072</v>
      </c>
      <c r="C145" s="4" t="str">
        <f t="shared" si="4"/>
        <v>Feb</v>
      </c>
      <c r="D145" t="s">
        <v>1522</v>
      </c>
      <c r="E145" t="s">
        <v>1527</v>
      </c>
      <c r="F145" t="s">
        <v>1534</v>
      </c>
      <c r="G145" t="s">
        <v>1543</v>
      </c>
      <c r="H145" t="s">
        <v>4</v>
      </c>
      <c r="I145">
        <v>2022</v>
      </c>
      <c r="J145" t="s">
        <v>1554</v>
      </c>
      <c r="K145" t="s">
        <v>1557</v>
      </c>
      <c r="L145">
        <v>1564998</v>
      </c>
      <c r="M145">
        <v>1406765</v>
      </c>
      <c r="N145">
        <v>158233</v>
      </c>
      <c r="O145">
        <v>38</v>
      </c>
      <c r="P145" t="str">
        <f t="shared" si="5"/>
        <v>adult</v>
      </c>
      <c r="Q145" t="s">
        <v>1558</v>
      </c>
      <c r="R145" t="s">
        <v>1562</v>
      </c>
      <c r="S145" t="s">
        <v>1567</v>
      </c>
      <c r="T145">
        <v>1031075</v>
      </c>
      <c r="U145">
        <v>3</v>
      </c>
      <c r="V145" t="s">
        <v>1589</v>
      </c>
      <c r="W145" t="s">
        <v>1591</v>
      </c>
      <c r="X145">
        <v>10.11</v>
      </c>
    </row>
    <row r="146" spans="1:24" x14ac:dyDescent="0.25">
      <c r="A146" t="s">
        <v>166</v>
      </c>
      <c r="B146" s="4">
        <v>45954</v>
      </c>
      <c r="C146" s="4" t="str">
        <f t="shared" si="4"/>
        <v>Oct</v>
      </c>
      <c r="D146" t="s">
        <v>1522</v>
      </c>
      <c r="E146" t="s">
        <v>1523</v>
      </c>
      <c r="F146" t="s">
        <v>1529</v>
      </c>
      <c r="G146" t="s">
        <v>1549</v>
      </c>
      <c r="H146" t="s">
        <v>1552</v>
      </c>
      <c r="I146">
        <v>2022</v>
      </c>
      <c r="J146" t="s">
        <v>1555</v>
      </c>
      <c r="K146" t="s">
        <v>1556</v>
      </c>
      <c r="L146">
        <v>1994646</v>
      </c>
      <c r="M146">
        <v>1831769</v>
      </c>
      <c r="N146">
        <v>162877</v>
      </c>
      <c r="O146">
        <v>61</v>
      </c>
      <c r="P146" t="str">
        <f t="shared" si="5"/>
        <v>senior</v>
      </c>
      <c r="Q146" t="s">
        <v>1559</v>
      </c>
      <c r="R146" t="s">
        <v>1562</v>
      </c>
      <c r="S146" t="s">
        <v>1567</v>
      </c>
      <c r="T146">
        <v>921766</v>
      </c>
      <c r="U146">
        <v>4</v>
      </c>
      <c r="V146" t="s">
        <v>1574</v>
      </c>
      <c r="W146" t="s">
        <v>1593</v>
      </c>
      <c r="X146">
        <v>8.17</v>
      </c>
    </row>
    <row r="147" spans="1:24" x14ac:dyDescent="0.25">
      <c r="A147" t="s">
        <v>167</v>
      </c>
      <c r="B147" s="4">
        <v>45773</v>
      </c>
      <c r="C147" s="4" t="str">
        <f t="shared" si="4"/>
        <v>Apr</v>
      </c>
      <c r="D147" t="s">
        <v>1522</v>
      </c>
      <c r="E147" t="s">
        <v>1523</v>
      </c>
      <c r="F147" t="s">
        <v>1529</v>
      </c>
      <c r="G147" t="s">
        <v>1545</v>
      </c>
      <c r="H147" t="s">
        <v>4</v>
      </c>
      <c r="I147">
        <v>2025</v>
      </c>
      <c r="J147" t="s">
        <v>1554</v>
      </c>
      <c r="K147" t="s">
        <v>1556</v>
      </c>
      <c r="L147">
        <v>1214107</v>
      </c>
      <c r="M147">
        <v>1131339</v>
      </c>
      <c r="N147">
        <v>82768</v>
      </c>
      <c r="O147">
        <v>52</v>
      </c>
      <c r="P147" t="str">
        <f t="shared" si="5"/>
        <v>senior</v>
      </c>
      <c r="Q147" t="s">
        <v>1558</v>
      </c>
      <c r="R147" t="s">
        <v>1565</v>
      </c>
      <c r="S147" t="s">
        <v>1567</v>
      </c>
      <c r="T147">
        <v>271776</v>
      </c>
      <c r="U147">
        <v>1</v>
      </c>
      <c r="V147" t="s">
        <v>1573</v>
      </c>
      <c r="W147" t="s">
        <v>1592</v>
      </c>
      <c r="X147">
        <v>6.82</v>
      </c>
    </row>
    <row r="148" spans="1:24" x14ac:dyDescent="0.25">
      <c r="A148" t="s">
        <v>168</v>
      </c>
      <c r="B148" s="4">
        <v>46186</v>
      </c>
      <c r="C148" s="4" t="str">
        <f t="shared" si="4"/>
        <v>Jun</v>
      </c>
      <c r="D148" t="s">
        <v>1522</v>
      </c>
      <c r="E148" t="s">
        <v>1523</v>
      </c>
      <c r="F148" t="s">
        <v>1531</v>
      </c>
      <c r="G148" t="s">
        <v>1547</v>
      </c>
      <c r="H148" t="s">
        <v>4</v>
      </c>
      <c r="I148">
        <v>2024</v>
      </c>
      <c r="J148" t="s">
        <v>1554</v>
      </c>
      <c r="K148" t="s">
        <v>1556</v>
      </c>
      <c r="L148">
        <v>1693196</v>
      </c>
      <c r="M148">
        <v>1542629</v>
      </c>
      <c r="N148">
        <v>150567</v>
      </c>
      <c r="O148">
        <v>42</v>
      </c>
      <c r="P148" t="str">
        <f t="shared" si="5"/>
        <v>adult</v>
      </c>
      <c r="Q148" t="s">
        <v>1558</v>
      </c>
      <c r="R148" t="s">
        <v>1564</v>
      </c>
      <c r="S148" t="s">
        <v>1568</v>
      </c>
      <c r="T148">
        <v>2152709</v>
      </c>
      <c r="U148">
        <v>5</v>
      </c>
      <c r="V148" t="s">
        <v>1582</v>
      </c>
      <c r="W148" t="s">
        <v>1592</v>
      </c>
      <c r="X148">
        <v>8.89</v>
      </c>
    </row>
    <row r="149" spans="1:24" x14ac:dyDescent="0.25">
      <c r="A149" t="s">
        <v>169</v>
      </c>
      <c r="B149" s="4">
        <v>46151</v>
      </c>
      <c r="C149" s="4" t="str">
        <f t="shared" si="4"/>
        <v>May</v>
      </c>
      <c r="D149" t="s">
        <v>1522</v>
      </c>
      <c r="E149" t="s">
        <v>1527</v>
      </c>
      <c r="F149" t="s">
        <v>1531</v>
      </c>
      <c r="G149" t="s">
        <v>1539</v>
      </c>
      <c r="H149" t="s">
        <v>4</v>
      </c>
      <c r="I149">
        <v>2025</v>
      </c>
      <c r="J149" t="s">
        <v>1554</v>
      </c>
      <c r="K149" t="s">
        <v>1557</v>
      </c>
      <c r="L149">
        <v>1846907</v>
      </c>
      <c r="M149">
        <v>1612233</v>
      </c>
      <c r="N149">
        <v>234674</v>
      </c>
      <c r="O149">
        <v>56</v>
      </c>
      <c r="P149" t="str">
        <f t="shared" si="5"/>
        <v>senior</v>
      </c>
      <c r="Q149" t="s">
        <v>1558</v>
      </c>
      <c r="R149" t="s">
        <v>1564</v>
      </c>
      <c r="S149" t="s">
        <v>1567</v>
      </c>
      <c r="T149">
        <v>1174192</v>
      </c>
      <c r="U149">
        <v>4</v>
      </c>
      <c r="V149" t="s">
        <v>1590</v>
      </c>
      <c r="W149" t="s">
        <v>1592</v>
      </c>
      <c r="X149">
        <v>12.71</v>
      </c>
    </row>
    <row r="150" spans="1:24" x14ac:dyDescent="0.25">
      <c r="A150" t="s">
        <v>170</v>
      </c>
      <c r="B150" s="4">
        <v>45967</v>
      </c>
      <c r="C150" s="4" t="str">
        <f t="shared" si="4"/>
        <v>Nov</v>
      </c>
      <c r="D150" t="s">
        <v>1522</v>
      </c>
      <c r="E150" t="s">
        <v>1523</v>
      </c>
      <c r="F150" t="s">
        <v>1533</v>
      </c>
      <c r="G150" t="s">
        <v>1545</v>
      </c>
      <c r="H150" t="s">
        <v>4</v>
      </c>
      <c r="I150">
        <v>2024</v>
      </c>
      <c r="J150" t="s">
        <v>1554</v>
      </c>
      <c r="K150" t="s">
        <v>1557</v>
      </c>
      <c r="L150">
        <v>1316219</v>
      </c>
      <c r="M150">
        <v>1117276</v>
      </c>
      <c r="N150">
        <v>198943</v>
      </c>
      <c r="O150">
        <v>41</v>
      </c>
      <c r="P150" t="str">
        <f t="shared" si="5"/>
        <v>adult</v>
      </c>
      <c r="Q150" t="s">
        <v>1558</v>
      </c>
      <c r="R150" t="s">
        <v>1562</v>
      </c>
      <c r="S150" t="s">
        <v>1567</v>
      </c>
      <c r="T150">
        <v>493091</v>
      </c>
      <c r="U150">
        <v>3</v>
      </c>
      <c r="V150" t="s">
        <v>1583</v>
      </c>
      <c r="W150" t="s">
        <v>1593</v>
      </c>
      <c r="X150">
        <v>15.11</v>
      </c>
    </row>
    <row r="151" spans="1:24" x14ac:dyDescent="0.25">
      <c r="A151" t="s">
        <v>171</v>
      </c>
      <c r="B151" s="4">
        <v>45819</v>
      </c>
      <c r="C151" s="4" t="str">
        <f t="shared" si="4"/>
        <v>Jun</v>
      </c>
      <c r="D151" t="s">
        <v>1522</v>
      </c>
      <c r="E151" t="s">
        <v>1527</v>
      </c>
      <c r="F151" t="s">
        <v>1535</v>
      </c>
      <c r="G151" t="s">
        <v>1547</v>
      </c>
      <c r="H151" t="s">
        <v>4</v>
      </c>
      <c r="I151">
        <v>2026</v>
      </c>
      <c r="J151" t="s">
        <v>1554</v>
      </c>
      <c r="K151" t="s">
        <v>1556</v>
      </c>
      <c r="L151">
        <v>1406612</v>
      </c>
      <c r="M151">
        <v>1184307</v>
      </c>
      <c r="N151">
        <v>222305</v>
      </c>
      <c r="O151">
        <v>23</v>
      </c>
      <c r="P151" t="str">
        <f t="shared" si="5"/>
        <v>young</v>
      </c>
      <c r="Q151" t="s">
        <v>1558</v>
      </c>
      <c r="R151" t="s">
        <v>1565</v>
      </c>
      <c r="S151" t="s">
        <v>1570</v>
      </c>
      <c r="T151">
        <v>2147168</v>
      </c>
      <c r="U151">
        <v>2</v>
      </c>
      <c r="V151" t="s">
        <v>1584</v>
      </c>
      <c r="W151" t="s">
        <v>1592</v>
      </c>
      <c r="X151">
        <v>15.8</v>
      </c>
    </row>
    <row r="152" spans="1:24" x14ac:dyDescent="0.25">
      <c r="A152" t="s">
        <v>172</v>
      </c>
      <c r="B152" s="4">
        <v>46064</v>
      </c>
      <c r="C152" s="4" t="str">
        <f t="shared" si="4"/>
        <v>Feb</v>
      </c>
      <c r="D152" t="s">
        <v>1522</v>
      </c>
      <c r="E152" t="s">
        <v>1527</v>
      </c>
      <c r="F152" t="s">
        <v>1528</v>
      </c>
      <c r="G152" t="s">
        <v>1538</v>
      </c>
      <c r="H152" t="s">
        <v>1552</v>
      </c>
      <c r="I152">
        <v>2023</v>
      </c>
      <c r="J152" t="s">
        <v>1555</v>
      </c>
      <c r="K152" t="s">
        <v>1556</v>
      </c>
      <c r="L152">
        <v>1929892</v>
      </c>
      <c r="M152">
        <v>1601775</v>
      </c>
      <c r="N152">
        <v>328117</v>
      </c>
      <c r="O152">
        <v>60</v>
      </c>
      <c r="P152" t="str">
        <f t="shared" si="5"/>
        <v>senior</v>
      </c>
      <c r="Q152" t="s">
        <v>1558</v>
      </c>
      <c r="R152" t="s">
        <v>1566</v>
      </c>
      <c r="S152" t="s">
        <v>1567</v>
      </c>
      <c r="T152">
        <v>1443377</v>
      </c>
      <c r="U152">
        <v>2</v>
      </c>
      <c r="V152" t="s">
        <v>1589</v>
      </c>
      <c r="W152" t="s">
        <v>1591</v>
      </c>
      <c r="X152">
        <v>17</v>
      </c>
    </row>
    <row r="153" spans="1:24" x14ac:dyDescent="0.25">
      <c r="A153" t="s">
        <v>173</v>
      </c>
      <c r="B153" s="4">
        <v>46061</v>
      </c>
      <c r="C153" s="4" t="str">
        <f t="shared" si="4"/>
        <v>Feb</v>
      </c>
      <c r="D153" t="s">
        <v>1522</v>
      </c>
      <c r="E153" t="s">
        <v>1527</v>
      </c>
      <c r="F153" t="s">
        <v>1530</v>
      </c>
      <c r="G153" t="s">
        <v>1547</v>
      </c>
      <c r="H153" t="s">
        <v>4</v>
      </c>
      <c r="I153">
        <v>2026</v>
      </c>
      <c r="J153" t="s">
        <v>1554</v>
      </c>
      <c r="K153" t="s">
        <v>1556</v>
      </c>
      <c r="L153">
        <v>1804727</v>
      </c>
      <c r="M153">
        <v>1537671</v>
      </c>
      <c r="N153">
        <v>267056</v>
      </c>
      <c r="O153">
        <v>34</v>
      </c>
      <c r="P153" t="str">
        <f t="shared" si="5"/>
        <v>adult</v>
      </c>
      <c r="Q153" t="s">
        <v>1558</v>
      </c>
      <c r="R153" t="s">
        <v>1565</v>
      </c>
      <c r="S153" t="s">
        <v>1570</v>
      </c>
      <c r="T153">
        <v>2045456</v>
      </c>
      <c r="U153">
        <v>5</v>
      </c>
      <c r="V153" t="s">
        <v>1589</v>
      </c>
      <c r="W153" t="s">
        <v>1591</v>
      </c>
      <c r="X153">
        <v>14.8</v>
      </c>
    </row>
    <row r="154" spans="1:24" x14ac:dyDescent="0.25">
      <c r="A154" t="s">
        <v>174</v>
      </c>
      <c r="B154" s="4">
        <v>45714</v>
      </c>
      <c r="C154" s="4" t="str">
        <f t="shared" si="4"/>
        <v>Feb</v>
      </c>
      <c r="D154" t="s">
        <v>1522</v>
      </c>
      <c r="E154" t="s">
        <v>1523</v>
      </c>
      <c r="F154" t="s">
        <v>1537</v>
      </c>
      <c r="G154" t="s">
        <v>1544</v>
      </c>
      <c r="H154" t="s">
        <v>1551</v>
      </c>
      <c r="I154">
        <v>2025</v>
      </c>
      <c r="J154" t="s">
        <v>1554</v>
      </c>
      <c r="K154" t="s">
        <v>1556</v>
      </c>
      <c r="L154">
        <v>1034299</v>
      </c>
      <c r="M154">
        <v>871152</v>
      </c>
      <c r="N154">
        <v>163147</v>
      </c>
      <c r="O154">
        <v>32</v>
      </c>
      <c r="P154" t="str">
        <f t="shared" si="5"/>
        <v>adult</v>
      </c>
      <c r="Q154" t="s">
        <v>1558</v>
      </c>
      <c r="R154" t="s">
        <v>1562</v>
      </c>
      <c r="S154" t="s">
        <v>1567</v>
      </c>
      <c r="T154">
        <v>409219</v>
      </c>
      <c r="U154">
        <v>2</v>
      </c>
      <c r="V154" t="s">
        <v>1578</v>
      </c>
      <c r="W154" t="s">
        <v>1591</v>
      </c>
      <c r="X154">
        <v>15.77</v>
      </c>
    </row>
    <row r="155" spans="1:24" x14ac:dyDescent="0.25">
      <c r="A155" t="s">
        <v>175</v>
      </c>
      <c r="B155" s="4">
        <v>45982</v>
      </c>
      <c r="C155" s="4" t="str">
        <f t="shared" si="4"/>
        <v>Nov</v>
      </c>
      <c r="D155" t="s">
        <v>1522</v>
      </c>
      <c r="E155" t="s">
        <v>1525</v>
      </c>
      <c r="F155" t="s">
        <v>1535</v>
      </c>
      <c r="G155" t="s">
        <v>1546</v>
      </c>
      <c r="H155" t="s">
        <v>4</v>
      </c>
      <c r="I155">
        <v>2026</v>
      </c>
      <c r="J155" t="s">
        <v>1554</v>
      </c>
      <c r="K155" t="s">
        <v>1556</v>
      </c>
      <c r="L155">
        <v>1749325</v>
      </c>
      <c r="M155">
        <v>1541390</v>
      </c>
      <c r="N155">
        <v>207935</v>
      </c>
      <c r="O155">
        <v>60</v>
      </c>
      <c r="P155" t="str">
        <f t="shared" si="5"/>
        <v>senior</v>
      </c>
      <c r="Q155" t="s">
        <v>1558</v>
      </c>
      <c r="R155" t="s">
        <v>1565</v>
      </c>
      <c r="S155" t="s">
        <v>1570</v>
      </c>
      <c r="T155">
        <v>662614</v>
      </c>
      <c r="U155">
        <v>2</v>
      </c>
      <c r="V155" t="s">
        <v>1583</v>
      </c>
      <c r="W155" t="s">
        <v>1593</v>
      </c>
      <c r="X155">
        <v>11.89</v>
      </c>
    </row>
    <row r="156" spans="1:24" x14ac:dyDescent="0.25">
      <c r="A156" t="s">
        <v>176</v>
      </c>
      <c r="B156" s="4">
        <v>45839</v>
      </c>
      <c r="C156" s="4" t="str">
        <f t="shared" si="4"/>
        <v>Jul</v>
      </c>
      <c r="D156" t="s">
        <v>1522</v>
      </c>
      <c r="E156" t="s">
        <v>1527</v>
      </c>
      <c r="F156" t="s">
        <v>1534</v>
      </c>
      <c r="G156" t="s">
        <v>1549</v>
      </c>
      <c r="H156" t="s">
        <v>1550</v>
      </c>
      <c r="I156">
        <v>2023</v>
      </c>
      <c r="J156" t="s">
        <v>1554</v>
      </c>
      <c r="K156" t="s">
        <v>1556</v>
      </c>
      <c r="L156">
        <v>1217983</v>
      </c>
      <c r="M156">
        <v>1082014</v>
      </c>
      <c r="N156">
        <v>135969</v>
      </c>
      <c r="O156">
        <v>43</v>
      </c>
      <c r="P156" t="str">
        <f t="shared" si="5"/>
        <v>adult</v>
      </c>
      <c r="Q156" t="s">
        <v>1558</v>
      </c>
      <c r="R156" t="s">
        <v>1562</v>
      </c>
      <c r="S156" t="s">
        <v>1567</v>
      </c>
      <c r="T156">
        <v>369237</v>
      </c>
      <c r="U156">
        <v>3</v>
      </c>
      <c r="V156" t="s">
        <v>1579</v>
      </c>
      <c r="W156" t="s">
        <v>1594</v>
      </c>
      <c r="X156">
        <v>11.16</v>
      </c>
    </row>
    <row r="157" spans="1:24" x14ac:dyDescent="0.25">
      <c r="A157" t="s">
        <v>177</v>
      </c>
      <c r="B157" s="4">
        <v>46224</v>
      </c>
      <c r="C157" s="4" t="str">
        <f t="shared" si="4"/>
        <v>Jul</v>
      </c>
      <c r="D157" t="s">
        <v>1522</v>
      </c>
      <c r="E157" t="s">
        <v>1527</v>
      </c>
      <c r="F157" t="s">
        <v>1528</v>
      </c>
      <c r="G157" t="s">
        <v>1545</v>
      </c>
      <c r="H157" t="s">
        <v>4</v>
      </c>
      <c r="I157">
        <v>2024</v>
      </c>
      <c r="J157" t="s">
        <v>1554</v>
      </c>
      <c r="K157" t="s">
        <v>1556</v>
      </c>
      <c r="L157">
        <v>1544683</v>
      </c>
      <c r="M157">
        <v>1388557</v>
      </c>
      <c r="N157">
        <v>156126</v>
      </c>
      <c r="O157">
        <v>23</v>
      </c>
      <c r="P157" t="str">
        <f t="shared" si="5"/>
        <v>young</v>
      </c>
      <c r="Q157" t="s">
        <v>1558</v>
      </c>
      <c r="R157" t="s">
        <v>1563</v>
      </c>
      <c r="S157" t="s">
        <v>1568</v>
      </c>
      <c r="T157">
        <v>1300212</v>
      </c>
      <c r="U157">
        <v>3</v>
      </c>
      <c r="V157" t="s">
        <v>1587</v>
      </c>
      <c r="W157" t="s">
        <v>1594</v>
      </c>
      <c r="X157">
        <v>10.11</v>
      </c>
    </row>
    <row r="158" spans="1:24" x14ac:dyDescent="0.25">
      <c r="A158" t="s">
        <v>178</v>
      </c>
      <c r="B158" s="4">
        <v>46221</v>
      </c>
      <c r="C158" s="4" t="str">
        <f t="shared" si="4"/>
        <v>Jul</v>
      </c>
      <c r="D158" t="s">
        <v>1522</v>
      </c>
      <c r="E158" t="s">
        <v>1525</v>
      </c>
      <c r="F158" t="s">
        <v>1534</v>
      </c>
      <c r="G158" t="s">
        <v>1540</v>
      </c>
      <c r="H158" t="s">
        <v>1550</v>
      </c>
      <c r="I158">
        <v>2023</v>
      </c>
      <c r="J158" t="s">
        <v>1554</v>
      </c>
      <c r="K158" t="s">
        <v>1557</v>
      </c>
      <c r="L158">
        <v>1248979</v>
      </c>
      <c r="M158">
        <v>1112605</v>
      </c>
      <c r="N158">
        <v>136374</v>
      </c>
      <c r="O158">
        <v>61</v>
      </c>
      <c r="P158" t="str">
        <f t="shared" si="5"/>
        <v>senior</v>
      </c>
      <c r="Q158" t="s">
        <v>1559</v>
      </c>
      <c r="R158" t="s">
        <v>1564</v>
      </c>
      <c r="S158" t="s">
        <v>1569</v>
      </c>
      <c r="T158">
        <v>1780534</v>
      </c>
      <c r="U158">
        <v>5</v>
      </c>
      <c r="V158" t="s">
        <v>1587</v>
      </c>
      <c r="W158" t="s">
        <v>1594</v>
      </c>
      <c r="X158">
        <v>10.92</v>
      </c>
    </row>
    <row r="159" spans="1:24" x14ac:dyDescent="0.25">
      <c r="A159" t="s">
        <v>179</v>
      </c>
      <c r="B159" s="4">
        <v>46184</v>
      </c>
      <c r="C159" s="4" t="str">
        <f t="shared" si="4"/>
        <v>Jun</v>
      </c>
      <c r="D159" t="s">
        <v>1522</v>
      </c>
      <c r="E159" t="s">
        <v>1527</v>
      </c>
      <c r="F159" t="s">
        <v>1534</v>
      </c>
      <c r="G159" t="s">
        <v>1538</v>
      </c>
      <c r="H159" t="s">
        <v>1551</v>
      </c>
      <c r="I159">
        <v>2026</v>
      </c>
      <c r="J159" t="s">
        <v>1554</v>
      </c>
      <c r="K159" t="s">
        <v>1557</v>
      </c>
      <c r="L159">
        <v>1014484</v>
      </c>
      <c r="M159">
        <v>982377</v>
      </c>
      <c r="N159">
        <v>32107</v>
      </c>
      <c r="O159">
        <v>43</v>
      </c>
      <c r="P159" t="str">
        <f t="shared" si="5"/>
        <v>adult</v>
      </c>
      <c r="Q159" t="s">
        <v>1558</v>
      </c>
      <c r="R159" t="s">
        <v>1564</v>
      </c>
      <c r="S159" t="s">
        <v>1569</v>
      </c>
      <c r="T159">
        <v>816745</v>
      </c>
      <c r="U159">
        <v>2</v>
      </c>
      <c r="V159" t="s">
        <v>1582</v>
      </c>
      <c r="W159" t="s">
        <v>1592</v>
      </c>
      <c r="X159">
        <v>3.16</v>
      </c>
    </row>
    <row r="160" spans="1:24" x14ac:dyDescent="0.25">
      <c r="A160" t="s">
        <v>180</v>
      </c>
      <c r="B160" s="4">
        <v>45821</v>
      </c>
      <c r="C160" s="4" t="str">
        <f t="shared" si="4"/>
        <v>Jun</v>
      </c>
      <c r="D160" t="s">
        <v>1522</v>
      </c>
      <c r="E160" t="s">
        <v>1527</v>
      </c>
      <c r="F160" t="s">
        <v>1535</v>
      </c>
      <c r="G160" t="s">
        <v>1542</v>
      </c>
      <c r="H160" t="s">
        <v>4</v>
      </c>
      <c r="I160">
        <v>2024</v>
      </c>
      <c r="J160" t="s">
        <v>1554</v>
      </c>
      <c r="K160" t="s">
        <v>1556</v>
      </c>
      <c r="L160">
        <v>1491889</v>
      </c>
      <c r="M160">
        <v>1322288</v>
      </c>
      <c r="N160">
        <v>169601</v>
      </c>
      <c r="O160">
        <v>65</v>
      </c>
      <c r="P160" t="str">
        <f t="shared" si="5"/>
        <v>senior</v>
      </c>
      <c r="Q160" t="s">
        <v>1559</v>
      </c>
      <c r="R160" t="s">
        <v>1561</v>
      </c>
      <c r="S160" t="s">
        <v>1567</v>
      </c>
      <c r="T160">
        <v>24070</v>
      </c>
      <c r="U160">
        <v>3</v>
      </c>
      <c r="V160" t="s">
        <v>1584</v>
      </c>
      <c r="W160" t="s">
        <v>1592</v>
      </c>
      <c r="X160">
        <v>11.37</v>
      </c>
    </row>
    <row r="161" spans="1:24" x14ac:dyDescent="0.25">
      <c r="A161" t="s">
        <v>181</v>
      </c>
      <c r="B161" s="4">
        <v>46154</v>
      </c>
      <c r="C161" s="4" t="str">
        <f t="shared" si="4"/>
        <v>May</v>
      </c>
      <c r="D161" t="s">
        <v>1522</v>
      </c>
      <c r="E161" t="s">
        <v>1526</v>
      </c>
      <c r="F161" t="s">
        <v>1536</v>
      </c>
      <c r="G161" t="s">
        <v>1539</v>
      </c>
      <c r="H161" t="s">
        <v>1550</v>
      </c>
      <c r="I161">
        <v>2024</v>
      </c>
      <c r="J161" t="s">
        <v>1554</v>
      </c>
      <c r="K161" t="s">
        <v>1556</v>
      </c>
      <c r="L161">
        <v>1209801</v>
      </c>
      <c r="M161">
        <v>1121662</v>
      </c>
      <c r="N161">
        <v>88139</v>
      </c>
      <c r="O161">
        <v>58</v>
      </c>
      <c r="P161" t="str">
        <f t="shared" si="5"/>
        <v>senior</v>
      </c>
      <c r="Q161" t="s">
        <v>1558</v>
      </c>
      <c r="R161" t="s">
        <v>1563</v>
      </c>
      <c r="S161" t="s">
        <v>1570</v>
      </c>
      <c r="T161">
        <v>1783781</v>
      </c>
      <c r="U161">
        <v>4</v>
      </c>
      <c r="V161" t="s">
        <v>1590</v>
      </c>
      <c r="W161" t="s">
        <v>1592</v>
      </c>
      <c r="X161">
        <v>7.29</v>
      </c>
    </row>
    <row r="162" spans="1:24" x14ac:dyDescent="0.25">
      <c r="A162" t="s">
        <v>182</v>
      </c>
      <c r="B162" s="4">
        <v>45967</v>
      </c>
      <c r="C162" s="4" t="str">
        <f t="shared" si="4"/>
        <v>Nov</v>
      </c>
      <c r="D162" t="s">
        <v>1522</v>
      </c>
      <c r="E162" t="s">
        <v>1525</v>
      </c>
      <c r="F162" t="s">
        <v>1533</v>
      </c>
      <c r="G162" t="s">
        <v>1538</v>
      </c>
      <c r="H162" t="s">
        <v>1551</v>
      </c>
      <c r="I162">
        <v>2025</v>
      </c>
      <c r="J162" t="s">
        <v>1554</v>
      </c>
      <c r="K162" t="s">
        <v>1556</v>
      </c>
      <c r="L162">
        <v>1046072</v>
      </c>
      <c r="M162">
        <v>873283</v>
      </c>
      <c r="N162">
        <v>172789</v>
      </c>
      <c r="O162">
        <v>51</v>
      </c>
      <c r="P162" t="str">
        <f t="shared" si="5"/>
        <v>senior</v>
      </c>
      <c r="Q162" t="s">
        <v>1558</v>
      </c>
      <c r="R162" t="s">
        <v>1565</v>
      </c>
      <c r="S162" t="s">
        <v>1567</v>
      </c>
      <c r="T162">
        <v>637118</v>
      </c>
      <c r="U162">
        <v>1</v>
      </c>
      <c r="V162" t="s">
        <v>1583</v>
      </c>
      <c r="W162" t="s">
        <v>1593</v>
      </c>
      <c r="X162">
        <v>16.52</v>
      </c>
    </row>
    <row r="163" spans="1:24" x14ac:dyDescent="0.25">
      <c r="A163" t="s">
        <v>183</v>
      </c>
      <c r="B163" s="4">
        <v>45873</v>
      </c>
      <c r="C163" s="4" t="str">
        <f t="shared" si="4"/>
        <v>Aug</v>
      </c>
      <c r="D163" t="s">
        <v>1522</v>
      </c>
      <c r="E163" t="s">
        <v>1523</v>
      </c>
      <c r="F163" t="s">
        <v>1537</v>
      </c>
      <c r="G163" t="s">
        <v>1542</v>
      </c>
      <c r="H163" t="s">
        <v>1551</v>
      </c>
      <c r="I163">
        <v>2026</v>
      </c>
      <c r="J163" t="s">
        <v>1554</v>
      </c>
      <c r="K163" t="s">
        <v>1557</v>
      </c>
      <c r="L163">
        <v>865931</v>
      </c>
      <c r="M163">
        <v>767937</v>
      </c>
      <c r="N163">
        <v>97994</v>
      </c>
      <c r="O163">
        <v>25</v>
      </c>
      <c r="P163" t="str">
        <f t="shared" si="5"/>
        <v>young</v>
      </c>
      <c r="Q163" t="s">
        <v>1559</v>
      </c>
      <c r="R163" t="s">
        <v>1562</v>
      </c>
      <c r="S163" t="s">
        <v>1570</v>
      </c>
      <c r="T163">
        <v>1493632</v>
      </c>
      <c r="U163">
        <v>2</v>
      </c>
      <c r="V163" t="s">
        <v>1585</v>
      </c>
      <c r="W163" t="s">
        <v>1594</v>
      </c>
      <c r="X163">
        <v>11.32</v>
      </c>
    </row>
    <row r="164" spans="1:24" x14ac:dyDescent="0.25">
      <c r="A164" t="s">
        <v>184</v>
      </c>
      <c r="B164" s="4">
        <v>46048</v>
      </c>
      <c r="C164" s="4" t="str">
        <f t="shared" si="4"/>
        <v>Jan</v>
      </c>
      <c r="D164" t="s">
        <v>1522</v>
      </c>
      <c r="E164" t="s">
        <v>1525</v>
      </c>
      <c r="F164" t="s">
        <v>1530</v>
      </c>
      <c r="G164" t="s">
        <v>1544</v>
      </c>
      <c r="H164" t="s">
        <v>4</v>
      </c>
      <c r="I164">
        <v>2025</v>
      </c>
      <c r="J164" t="s">
        <v>1554</v>
      </c>
      <c r="K164" t="s">
        <v>1556</v>
      </c>
      <c r="L164">
        <v>1814209</v>
      </c>
      <c r="M164">
        <v>1562984</v>
      </c>
      <c r="N164">
        <v>251225</v>
      </c>
      <c r="O164">
        <v>44</v>
      </c>
      <c r="P164" t="str">
        <f t="shared" si="5"/>
        <v>adult</v>
      </c>
      <c r="Q164" t="s">
        <v>1559</v>
      </c>
      <c r="R164" t="s">
        <v>1562</v>
      </c>
      <c r="S164" t="s">
        <v>1570</v>
      </c>
      <c r="T164">
        <v>2218</v>
      </c>
      <c r="U164">
        <v>1</v>
      </c>
      <c r="V164" t="s">
        <v>1581</v>
      </c>
      <c r="W164" t="s">
        <v>1591</v>
      </c>
      <c r="X164">
        <v>13.85</v>
      </c>
    </row>
    <row r="165" spans="1:24" x14ac:dyDescent="0.25">
      <c r="A165" t="s">
        <v>185</v>
      </c>
      <c r="B165" s="4">
        <v>45762</v>
      </c>
      <c r="C165" s="4" t="str">
        <f t="shared" si="4"/>
        <v>Apr</v>
      </c>
      <c r="D165" t="s">
        <v>1522</v>
      </c>
      <c r="E165" t="s">
        <v>1527</v>
      </c>
      <c r="F165" t="s">
        <v>1531</v>
      </c>
      <c r="G165" t="s">
        <v>1547</v>
      </c>
      <c r="H165" t="s">
        <v>1550</v>
      </c>
      <c r="I165">
        <v>2022</v>
      </c>
      <c r="J165" t="s">
        <v>1554</v>
      </c>
      <c r="K165" t="s">
        <v>1557</v>
      </c>
      <c r="L165">
        <v>1535346</v>
      </c>
      <c r="M165">
        <v>1293699</v>
      </c>
      <c r="N165">
        <v>241647</v>
      </c>
      <c r="O165">
        <v>55</v>
      </c>
      <c r="P165" t="str">
        <f t="shared" si="5"/>
        <v>senior</v>
      </c>
      <c r="Q165" t="s">
        <v>1558</v>
      </c>
      <c r="R165" t="s">
        <v>1564</v>
      </c>
      <c r="S165" t="s">
        <v>1568</v>
      </c>
      <c r="T165">
        <v>598000</v>
      </c>
      <c r="U165">
        <v>5</v>
      </c>
      <c r="V165" t="s">
        <v>1573</v>
      </c>
      <c r="W165" t="s">
        <v>1592</v>
      </c>
      <c r="X165">
        <v>15.74</v>
      </c>
    </row>
    <row r="166" spans="1:24" x14ac:dyDescent="0.25">
      <c r="A166" t="s">
        <v>186</v>
      </c>
      <c r="B166" s="4">
        <v>46179</v>
      </c>
      <c r="C166" s="4" t="str">
        <f t="shared" si="4"/>
        <v>Jun</v>
      </c>
      <c r="D166" t="s">
        <v>1522</v>
      </c>
      <c r="E166" t="s">
        <v>1527</v>
      </c>
      <c r="F166" t="s">
        <v>1535</v>
      </c>
      <c r="G166" t="s">
        <v>1542</v>
      </c>
      <c r="H166" t="s">
        <v>4</v>
      </c>
      <c r="I166">
        <v>2024</v>
      </c>
      <c r="J166" t="s">
        <v>1554</v>
      </c>
      <c r="K166" t="s">
        <v>1557</v>
      </c>
      <c r="L166">
        <v>1176877</v>
      </c>
      <c r="M166">
        <v>1093673</v>
      </c>
      <c r="N166">
        <v>83204</v>
      </c>
      <c r="O166">
        <v>46</v>
      </c>
      <c r="P166" t="str">
        <f t="shared" si="5"/>
        <v>adult</v>
      </c>
      <c r="Q166" t="s">
        <v>1560</v>
      </c>
      <c r="R166" t="s">
        <v>1562</v>
      </c>
      <c r="S166" t="s">
        <v>1569</v>
      </c>
      <c r="T166">
        <v>880731</v>
      </c>
      <c r="U166">
        <v>1</v>
      </c>
      <c r="V166" t="s">
        <v>1582</v>
      </c>
      <c r="W166" t="s">
        <v>1592</v>
      </c>
      <c r="X166">
        <v>7.07</v>
      </c>
    </row>
    <row r="167" spans="1:24" x14ac:dyDescent="0.25">
      <c r="A167" t="s">
        <v>187</v>
      </c>
      <c r="B167" s="4">
        <v>46212</v>
      </c>
      <c r="C167" s="4" t="str">
        <f t="shared" si="4"/>
        <v>Jul</v>
      </c>
      <c r="D167" t="s">
        <v>1522</v>
      </c>
      <c r="E167" t="s">
        <v>1526</v>
      </c>
      <c r="F167" t="s">
        <v>1531</v>
      </c>
      <c r="G167" t="s">
        <v>1547</v>
      </c>
      <c r="H167" t="s">
        <v>4</v>
      </c>
      <c r="I167">
        <v>2025</v>
      </c>
      <c r="J167" t="s">
        <v>1554</v>
      </c>
      <c r="K167" t="s">
        <v>1557</v>
      </c>
      <c r="L167">
        <v>1523779</v>
      </c>
      <c r="M167">
        <v>1354934</v>
      </c>
      <c r="N167">
        <v>168845</v>
      </c>
      <c r="O167">
        <v>43</v>
      </c>
      <c r="P167" t="str">
        <f t="shared" si="5"/>
        <v>adult</v>
      </c>
      <c r="Q167" t="s">
        <v>1558</v>
      </c>
      <c r="R167" t="s">
        <v>1562</v>
      </c>
      <c r="S167" t="s">
        <v>1567</v>
      </c>
      <c r="T167">
        <v>423641</v>
      </c>
      <c r="U167">
        <v>1</v>
      </c>
      <c r="V167" t="s">
        <v>1587</v>
      </c>
      <c r="W167" t="s">
        <v>1594</v>
      </c>
      <c r="X167">
        <v>11.08</v>
      </c>
    </row>
    <row r="168" spans="1:24" x14ac:dyDescent="0.25">
      <c r="A168" t="s">
        <v>188</v>
      </c>
      <c r="B168" s="4">
        <v>46138</v>
      </c>
      <c r="C168" s="4" t="str">
        <f t="shared" si="4"/>
        <v>Apr</v>
      </c>
      <c r="D168" t="s">
        <v>1522</v>
      </c>
      <c r="E168" t="s">
        <v>1527</v>
      </c>
      <c r="F168" t="s">
        <v>1533</v>
      </c>
      <c r="G168" t="s">
        <v>1541</v>
      </c>
      <c r="H168" t="s">
        <v>1552</v>
      </c>
      <c r="I168">
        <v>2024</v>
      </c>
      <c r="J168" t="s">
        <v>1555</v>
      </c>
      <c r="K168" t="s">
        <v>1556</v>
      </c>
      <c r="L168">
        <v>1978417</v>
      </c>
      <c r="M168">
        <v>1605776</v>
      </c>
      <c r="N168">
        <v>372641</v>
      </c>
      <c r="O168">
        <v>57</v>
      </c>
      <c r="P168" t="str">
        <f t="shared" si="5"/>
        <v>senior</v>
      </c>
      <c r="Q168" t="s">
        <v>1558</v>
      </c>
      <c r="R168" t="s">
        <v>1561</v>
      </c>
      <c r="S168" t="s">
        <v>1568</v>
      </c>
      <c r="T168">
        <v>2192684</v>
      </c>
      <c r="U168">
        <v>5</v>
      </c>
      <c r="V168" t="s">
        <v>1580</v>
      </c>
      <c r="W168" t="s">
        <v>1592</v>
      </c>
      <c r="X168">
        <v>18.84</v>
      </c>
    </row>
    <row r="169" spans="1:24" x14ac:dyDescent="0.25">
      <c r="A169" t="s">
        <v>189</v>
      </c>
      <c r="B169" s="4">
        <v>45865</v>
      </c>
      <c r="C169" s="4" t="str">
        <f t="shared" si="4"/>
        <v>Jul</v>
      </c>
      <c r="D169" t="s">
        <v>1522</v>
      </c>
      <c r="E169" t="s">
        <v>1525</v>
      </c>
      <c r="F169" t="s">
        <v>1532</v>
      </c>
      <c r="G169" t="s">
        <v>1545</v>
      </c>
      <c r="H169" t="s">
        <v>4</v>
      </c>
      <c r="I169">
        <v>2023</v>
      </c>
      <c r="J169" t="s">
        <v>1554</v>
      </c>
      <c r="K169" t="s">
        <v>1557</v>
      </c>
      <c r="L169">
        <v>1317298</v>
      </c>
      <c r="M169">
        <v>1180675</v>
      </c>
      <c r="N169">
        <v>136623</v>
      </c>
      <c r="O169">
        <v>63</v>
      </c>
      <c r="P169" t="str">
        <f t="shared" si="5"/>
        <v>senior</v>
      </c>
      <c r="Q169" t="s">
        <v>1559</v>
      </c>
      <c r="R169" t="s">
        <v>1565</v>
      </c>
      <c r="S169" t="s">
        <v>1568</v>
      </c>
      <c r="T169">
        <v>2134810</v>
      </c>
      <c r="U169">
        <v>4</v>
      </c>
      <c r="V169" t="s">
        <v>1579</v>
      </c>
      <c r="W169" t="s">
        <v>1594</v>
      </c>
      <c r="X169">
        <v>10.37</v>
      </c>
    </row>
    <row r="170" spans="1:24" x14ac:dyDescent="0.25">
      <c r="A170" t="s">
        <v>190</v>
      </c>
      <c r="B170" s="4">
        <v>45985</v>
      </c>
      <c r="C170" s="4" t="str">
        <f t="shared" si="4"/>
        <v>Nov</v>
      </c>
      <c r="D170" t="s">
        <v>1522</v>
      </c>
      <c r="E170" t="s">
        <v>1526</v>
      </c>
      <c r="F170" t="s">
        <v>1536</v>
      </c>
      <c r="G170" t="s">
        <v>1544</v>
      </c>
      <c r="H170" t="s">
        <v>4</v>
      </c>
      <c r="I170">
        <v>2024</v>
      </c>
      <c r="J170" t="s">
        <v>1554</v>
      </c>
      <c r="K170" t="s">
        <v>1556</v>
      </c>
      <c r="L170">
        <v>1336286</v>
      </c>
      <c r="M170">
        <v>1215952</v>
      </c>
      <c r="N170">
        <v>120334</v>
      </c>
      <c r="O170">
        <v>25</v>
      </c>
      <c r="P170" t="str">
        <f t="shared" si="5"/>
        <v>young</v>
      </c>
      <c r="Q170" t="s">
        <v>1558</v>
      </c>
      <c r="R170" t="s">
        <v>1565</v>
      </c>
      <c r="S170" t="s">
        <v>1567</v>
      </c>
      <c r="T170">
        <v>1265324</v>
      </c>
      <c r="U170">
        <v>4</v>
      </c>
      <c r="V170" t="s">
        <v>1583</v>
      </c>
      <c r="W170" t="s">
        <v>1593</v>
      </c>
      <c r="X170">
        <v>9.01</v>
      </c>
    </row>
    <row r="171" spans="1:24" x14ac:dyDescent="0.25">
      <c r="A171" t="s">
        <v>191</v>
      </c>
      <c r="B171" s="4">
        <v>46140</v>
      </c>
      <c r="C171" s="4" t="str">
        <f t="shared" si="4"/>
        <v>Apr</v>
      </c>
      <c r="D171" t="s">
        <v>1522</v>
      </c>
      <c r="E171" t="s">
        <v>1524</v>
      </c>
      <c r="F171" t="s">
        <v>1535</v>
      </c>
      <c r="G171" t="s">
        <v>1541</v>
      </c>
      <c r="H171" t="s">
        <v>1551</v>
      </c>
      <c r="I171">
        <v>2024</v>
      </c>
      <c r="J171" t="s">
        <v>1554</v>
      </c>
      <c r="K171" t="s">
        <v>1557</v>
      </c>
      <c r="L171">
        <v>920574</v>
      </c>
      <c r="M171">
        <v>801885</v>
      </c>
      <c r="N171">
        <v>118689</v>
      </c>
      <c r="O171">
        <v>29</v>
      </c>
      <c r="P171" t="str">
        <f t="shared" si="5"/>
        <v>young</v>
      </c>
      <c r="Q171" t="s">
        <v>1558</v>
      </c>
      <c r="R171" t="s">
        <v>1561</v>
      </c>
      <c r="S171" t="s">
        <v>1567</v>
      </c>
      <c r="T171">
        <v>828354</v>
      </c>
      <c r="U171">
        <v>5</v>
      </c>
      <c r="V171" t="s">
        <v>1580</v>
      </c>
      <c r="W171" t="s">
        <v>1592</v>
      </c>
      <c r="X171">
        <v>12.89</v>
      </c>
    </row>
    <row r="172" spans="1:24" x14ac:dyDescent="0.25">
      <c r="A172" t="s">
        <v>192</v>
      </c>
      <c r="B172" s="4">
        <v>46138</v>
      </c>
      <c r="C172" s="4" t="str">
        <f t="shared" si="4"/>
        <v>Apr</v>
      </c>
      <c r="D172" t="s">
        <v>1522</v>
      </c>
      <c r="E172" t="s">
        <v>1523</v>
      </c>
      <c r="F172" t="s">
        <v>1534</v>
      </c>
      <c r="G172" t="s">
        <v>1539</v>
      </c>
      <c r="H172" t="s">
        <v>4</v>
      </c>
      <c r="I172">
        <v>2022</v>
      </c>
      <c r="J172" t="s">
        <v>1554</v>
      </c>
      <c r="K172" t="s">
        <v>1557</v>
      </c>
      <c r="L172">
        <v>1840080</v>
      </c>
      <c r="M172">
        <v>1521624</v>
      </c>
      <c r="N172">
        <v>318456</v>
      </c>
      <c r="O172">
        <v>30</v>
      </c>
      <c r="P172" t="str">
        <f t="shared" si="5"/>
        <v>young</v>
      </c>
      <c r="Q172" t="s">
        <v>1558</v>
      </c>
      <c r="R172" t="s">
        <v>1562</v>
      </c>
      <c r="S172" t="s">
        <v>1570</v>
      </c>
      <c r="T172">
        <v>1020680</v>
      </c>
      <c r="U172">
        <v>3</v>
      </c>
      <c r="V172" t="s">
        <v>1580</v>
      </c>
      <c r="W172" t="s">
        <v>1592</v>
      </c>
      <c r="X172">
        <v>17.309999999999999</v>
      </c>
    </row>
    <row r="173" spans="1:24" x14ac:dyDescent="0.25">
      <c r="A173" t="s">
        <v>193</v>
      </c>
      <c r="B173" s="4">
        <v>45985</v>
      </c>
      <c r="C173" s="4" t="str">
        <f t="shared" si="4"/>
        <v>Nov</v>
      </c>
      <c r="D173" t="s">
        <v>1522</v>
      </c>
      <c r="E173" t="s">
        <v>1523</v>
      </c>
      <c r="F173" t="s">
        <v>1533</v>
      </c>
      <c r="G173" t="s">
        <v>1549</v>
      </c>
      <c r="H173" t="s">
        <v>4</v>
      </c>
      <c r="I173">
        <v>2025</v>
      </c>
      <c r="J173" t="s">
        <v>1554</v>
      </c>
      <c r="K173" t="s">
        <v>1557</v>
      </c>
      <c r="L173">
        <v>1792442</v>
      </c>
      <c r="M173">
        <v>1589569</v>
      </c>
      <c r="N173">
        <v>202873</v>
      </c>
      <c r="O173">
        <v>27</v>
      </c>
      <c r="P173" t="str">
        <f t="shared" si="5"/>
        <v>young</v>
      </c>
      <c r="Q173" t="s">
        <v>1558</v>
      </c>
      <c r="R173" t="s">
        <v>1564</v>
      </c>
      <c r="S173" t="s">
        <v>1567</v>
      </c>
      <c r="T173">
        <v>1415782</v>
      </c>
      <c r="U173">
        <v>3</v>
      </c>
      <c r="V173" t="s">
        <v>1583</v>
      </c>
      <c r="W173" t="s">
        <v>1593</v>
      </c>
      <c r="X173">
        <v>11.32</v>
      </c>
    </row>
    <row r="174" spans="1:24" x14ac:dyDescent="0.25">
      <c r="A174" t="s">
        <v>194</v>
      </c>
      <c r="B174" s="4">
        <v>46096</v>
      </c>
      <c r="C174" s="4" t="str">
        <f t="shared" si="4"/>
        <v>Mar</v>
      </c>
      <c r="D174" t="s">
        <v>1522</v>
      </c>
      <c r="E174" t="s">
        <v>1525</v>
      </c>
      <c r="F174" t="s">
        <v>1534</v>
      </c>
      <c r="G174" t="s">
        <v>1539</v>
      </c>
      <c r="H174" t="s">
        <v>1551</v>
      </c>
      <c r="I174">
        <v>2026</v>
      </c>
      <c r="J174" t="s">
        <v>1554</v>
      </c>
      <c r="K174" t="s">
        <v>1557</v>
      </c>
      <c r="L174">
        <v>963249</v>
      </c>
      <c r="M174">
        <v>913825</v>
      </c>
      <c r="N174">
        <v>49424</v>
      </c>
      <c r="O174">
        <v>59</v>
      </c>
      <c r="P174" t="str">
        <f t="shared" si="5"/>
        <v>senior</v>
      </c>
      <c r="Q174" t="s">
        <v>1558</v>
      </c>
      <c r="R174" t="s">
        <v>1565</v>
      </c>
      <c r="S174" t="s">
        <v>1567</v>
      </c>
      <c r="T174">
        <v>1678776</v>
      </c>
      <c r="U174">
        <v>3</v>
      </c>
      <c r="V174" t="s">
        <v>1586</v>
      </c>
      <c r="W174" t="s">
        <v>1591</v>
      </c>
      <c r="X174">
        <v>5.13</v>
      </c>
    </row>
    <row r="175" spans="1:24" x14ac:dyDescent="0.25">
      <c r="A175" t="s">
        <v>195</v>
      </c>
      <c r="B175" s="4">
        <v>46078</v>
      </c>
      <c r="C175" s="4" t="str">
        <f t="shared" si="4"/>
        <v>Feb</v>
      </c>
      <c r="D175" t="s">
        <v>1522</v>
      </c>
      <c r="E175" t="s">
        <v>1527</v>
      </c>
      <c r="F175" t="s">
        <v>1537</v>
      </c>
      <c r="G175" t="s">
        <v>1544</v>
      </c>
      <c r="H175" t="s">
        <v>1552</v>
      </c>
      <c r="I175">
        <v>2023</v>
      </c>
      <c r="J175" t="s">
        <v>1555</v>
      </c>
      <c r="K175" t="s">
        <v>1556</v>
      </c>
      <c r="L175">
        <v>1988408</v>
      </c>
      <c r="M175">
        <v>1633513</v>
      </c>
      <c r="N175">
        <v>354895</v>
      </c>
      <c r="O175">
        <v>32</v>
      </c>
      <c r="P175" t="str">
        <f t="shared" si="5"/>
        <v>adult</v>
      </c>
      <c r="Q175" t="s">
        <v>1559</v>
      </c>
      <c r="R175" t="s">
        <v>1565</v>
      </c>
      <c r="S175" t="s">
        <v>1567</v>
      </c>
      <c r="T175">
        <v>1997877</v>
      </c>
      <c r="U175">
        <v>5</v>
      </c>
      <c r="V175" t="s">
        <v>1589</v>
      </c>
      <c r="W175" t="s">
        <v>1591</v>
      </c>
      <c r="X175">
        <v>17.850000000000001</v>
      </c>
    </row>
    <row r="176" spans="1:24" x14ac:dyDescent="0.25">
      <c r="A176" t="s">
        <v>196</v>
      </c>
      <c r="B176" s="4">
        <v>46069</v>
      </c>
      <c r="C176" s="4" t="str">
        <f t="shared" si="4"/>
        <v>Feb</v>
      </c>
      <c r="D176" t="s">
        <v>1522</v>
      </c>
      <c r="E176" t="s">
        <v>1526</v>
      </c>
      <c r="F176" t="s">
        <v>1530</v>
      </c>
      <c r="G176" t="s">
        <v>1549</v>
      </c>
      <c r="H176" t="s">
        <v>1552</v>
      </c>
      <c r="I176">
        <v>2025</v>
      </c>
      <c r="J176" t="s">
        <v>1555</v>
      </c>
      <c r="K176" t="s">
        <v>1556</v>
      </c>
      <c r="L176">
        <v>1817490</v>
      </c>
      <c r="M176">
        <v>1696369</v>
      </c>
      <c r="N176">
        <v>121121</v>
      </c>
      <c r="O176">
        <v>42</v>
      </c>
      <c r="P176" t="str">
        <f t="shared" si="5"/>
        <v>adult</v>
      </c>
      <c r="Q176" t="s">
        <v>1558</v>
      </c>
      <c r="R176" t="s">
        <v>1564</v>
      </c>
      <c r="S176" t="s">
        <v>1568</v>
      </c>
      <c r="T176">
        <v>1790530</v>
      </c>
      <c r="U176">
        <v>4</v>
      </c>
      <c r="V176" t="s">
        <v>1589</v>
      </c>
      <c r="W176" t="s">
        <v>1591</v>
      </c>
      <c r="X176">
        <v>6.66</v>
      </c>
    </row>
    <row r="177" spans="1:24" x14ac:dyDescent="0.25">
      <c r="A177" t="s">
        <v>197</v>
      </c>
      <c r="B177" s="4">
        <v>46074</v>
      </c>
      <c r="C177" s="4" t="str">
        <f t="shared" si="4"/>
        <v>Feb</v>
      </c>
      <c r="D177" t="s">
        <v>1522</v>
      </c>
      <c r="E177" t="s">
        <v>1525</v>
      </c>
      <c r="F177" t="s">
        <v>1534</v>
      </c>
      <c r="G177" t="s">
        <v>1539</v>
      </c>
      <c r="H177" t="s">
        <v>4</v>
      </c>
      <c r="I177">
        <v>2024</v>
      </c>
      <c r="J177" t="s">
        <v>1554</v>
      </c>
      <c r="K177" t="s">
        <v>1556</v>
      </c>
      <c r="L177">
        <v>1581436</v>
      </c>
      <c r="M177">
        <v>1434839</v>
      </c>
      <c r="N177">
        <v>146597</v>
      </c>
      <c r="O177">
        <v>23</v>
      </c>
      <c r="P177" t="str">
        <f t="shared" si="5"/>
        <v>young</v>
      </c>
      <c r="Q177" t="s">
        <v>1558</v>
      </c>
      <c r="R177" t="s">
        <v>1561</v>
      </c>
      <c r="S177" t="s">
        <v>1569</v>
      </c>
      <c r="T177">
        <v>669356</v>
      </c>
      <c r="U177">
        <v>5</v>
      </c>
      <c r="V177" t="s">
        <v>1589</v>
      </c>
      <c r="W177" t="s">
        <v>1591</v>
      </c>
      <c r="X177">
        <v>9.27</v>
      </c>
    </row>
    <row r="178" spans="1:24" x14ac:dyDescent="0.25">
      <c r="A178" t="s">
        <v>198</v>
      </c>
      <c r="B178" s="4">
        <v>46172</v>
      </c>
      <c r="C178" s="4" t="str">
        <f t="shared" si="4"/>
        <v>May</v>
      </c>
      <c r="D178" t="s">
        <v>1522</v>
      </c>
      <c r="E178" t="s">
        <v>1525</v>
      </c>
      <c r="F178" t="s">
        <v>1537</v>
      </c>
      <c r="G178" t="s">
        <v>1544</v>
      </c>
      <c r="H178" t="s">
        <v>1550</v>
      </c>
      <c r="I178">
        <v>2024</v>
      </c>
      <c r="J178" t="s">
        <v>1554</v>
      </c>
      <c r="K178" t="s">
        <v>1557</v>
      </c>
      <c r="L178">
        <v>1376403</v>
      </c>
      <c r="M178">
        <v>1199977</v>
      </c>
      <c r="N178">
        <v>176426</v>
      </c>
      <c r="O178">
        <v>53</v>
      </c>
      <c r="P178" t="str">
        <f t="shared" si="5"/>
        <v>senior</v>
      </c>
      <c r="Q178" t="s">
        <v>1558</v>
      </c>
      <c r="R178" t="s">
        <v>1561</v>
      </c>
      <c r="S178" t="s">
        <v>1570</v>
      </c>
      <c r="T178">
        <v>601530</v>
      </c>
      <c r="U178">
        <v>5</v>
      </c>
      <c r="V178" t="s">
        <v>1590</v>
      </c>
      <c r="W178" t="s">
        <v>1592</v>
      </c>
      <c r="X178">
        <v>12.82</v>
      </c>
    </row>
    <row r="179" spans="1:24" x14ac:dyDescent="0.25">
      <c r="A179" t="s">
        <v>199</v>
      </c>
      <c r="B179" s="4">
        <v>45871</v>
      </c>
      <c r="C179" s="4" t="str">
        <f t="shared" si="4"/>
        <v>Aug</v>
      </c>
      <c r="D179" t="s">
        <v>1522</v>
      </c>
      <c r="E179" t="s">
        <v>1525</v>
      </c>
      <c r="F179" t="s">
        <v>1530</v>
      </c>
      <c r="G179" t="s">
        <v>1549</v>
      </c>
      <c r="H179" t="s">
        <v>4</v>
      </c>
      <c r="I179">
        <v>2025</v>
      </c>
      <c r="J179" t="s">
        <v>1554</v>
      </c>
      <c r="K179" t="s">
        <v>1557</v>
      </c>
      <c r="L179">
        <v>1685757</v>
      </c>
      <c r="M179">
        <v>1499289</v>
      </c>
      <c r="N179">
        <v>186468</v>
      </c>
      <c r="O179">
        <v>43</v>
      </c>
      <c r="P179" t="str">
        <f t="shared" si="5"/>
        <v>adult</v>
      </c>
      <c r="Q179" t="s">
        <v>1559</v>
      </c>
      <c r="R179" t="s">
        <v>1565</v>
      </c>
      <c r="S179" t="s">
        <v>1568</v>
      </c>
      <c r="T179">
        <v>1413691</v>
      </c>
      <c r="U179">
        <v>5</v>
      </c>
      <c r="V179" t="s">
        <v>1585</v>
      </c>
      <c r="W179" t="s">
        <v>1594</v>
      </c>
      <c r="X179">
        <v>11.06</v>
      </c>
    </row>
    <row r="180" spans="1:24" x14ac:dyDescent="0.25">
      <c r="A180" t="s">
        <v>200</v>
      </c>
      <c r="B180" s="4">
        <v>46057</v>
      </c>
      <c r="C180" s="4" t="str">
        <f t="shared" si="4"/>
        <v>Feb</v>
      </c>
      <c r="D180" t="s">
        <v>1522</v>
      </c>
      <c r="E180" t="s">
        <v>1523</v>
      </c>
      <c r="F180" t="s">
        <v>1536</v>
      </c>
      <c r="G180" t="s">
        <v>1549</v>
      </c>
      <c r="H180" t="s">
        <v>1550</v>
      </c>
      <c r="I180">
        <v>2023</v>
      </c>
      <c r="J180" t="s">
        <v>1554</v>
      </c>
      <c r="K180" t="s">
        <v>1556</v>
      </c>
      <c r="L180">
        <v>1411716</v>
      </c>
      <c r="M180">
        <v>1260539</v>
      </c>
      <c r="N180">
        <v>151177</v>
      </c>
      <c r="O180">
        <v>32</v>
      </c>
      <c r="P180" t="str">
        <f t="shared" si="5"/>
        <v>adult</v>
      </c>
      <c r="Q180" t="s">
        <v>1560</v>
      </c>
      <c r="R180" t="s">
        <v>1562</v>
      </c>
      <c r="S180" t="s">
        <v>1568</v>
      </c>
      <c r="T180">
        <v>646827</v>
      </c>
      <c r="U180">
        <v>1</v>
      </c>
      <c r="V180" t="s">
        <v>1589</v>
      </c>
      <c r="W180" t="s">
        <v>1591</v>
      </c>
      <c r="X180">
        <v>10.71</v>
      </c>
    </row>
    <row r="181" spans="1:24" x14ac:dyDescent="0.25">
      <c r="A181" t="s">
        <v>201</v>
      </c>
      <c r="B181" s="4">
        <v>46215</v>
      </c>
      <c r="C181" s="4" t="str">
        <f t="shared" si="4"/>
        <v>Jul</v>
      </c>
      <c r="D181" t="s">
        <v>1522</v>
      </c>
      <c r="E181" t="s">
        <v>1525</v>
      </c>
      <c r="F181" t="s">
        <v>1532</v>
      </c>
      <c r="G181" t="s">
        <v>1538</v>
      </c>
      <c r="H181" t="s">
        <v>4</v>
      </c>
      <c r="I181">
        <v>2024</v>
      </c>
      <c r="J181" t="s">
        <v>1554</v>
      </c>
      <c r="K181" t="s">
        <v>1556</v>
      </c>
      <c r="L181">
        <v>1299724</v>
      </c>
      <c r="M181">
        <v>1062607</v>
      </c>
      <c r="N181">
        <v>237117</v>
      </c>
      <c r="O181">
        <v>21</v>
      </c>
      <c r="P181" t="str">
        <f t="shared" si="5"/>
        <v>young</v>
      </c>
      <c r="Q181" t="s">
        <v>1558</v>
      </c>
      <c r="R181" t="s">
        <v>1565</v>
      </c>
      <c r="S181" t="s">
        <v>1568</v>
      </c>
      <c r="T181">
        <v>829262</v>
      </c>
      <c r="U181">
        <v>4</v>
      </c>
      <c r="V181" t="s">
        <v>1587</v>
      </c>
      <c r="W181" t="s">
        <v>1594</v>
      </c>
      <c r="X181">
        <v>18.239999999999998</v>
      </c>
    </row>
    <row r="182" spans="1:24" x14ac:dyDescent="0.25">
      <c r="A182" t="s">
        <v>202</v>
      </c>
      <c r="B182" s="4">
        <v>45812</v>
      </c>
      <c r="C182" s="4" t="str">
        <f t="shared" si="4"/>
        <v>Jun</v>
      </c>
      <c r="D182" t="s">
        <v>1522</v>
      </c>
      <c r="E182" t="s">
        <v>1525</v>
      </c>
      <c r="F182" t="s">
        <v>1536</v>
      </c>
      <c r="G182" t="s">
        <v>1542</v>
      </c>
      <c r="H182" t="s">
        <v>1550</v>
      </c>
      <c r="I182">
        <v>2025</v>
      </c>
      <c r="J182" t="s">
        <v>1554</v>
      </c>
      <c r="K182" t="s">
        <v>1557</v>
      </c>
      <c r="L182">
        <v>1532775</v>
      </c>
      <c r="M182">
        <v>1372927</v>
      </c>
      <c r="N182">
        <v>159848</v>
      </c>
      <c r="O182">
        <v>60</v>
      </c>
      <c r="P182" t="str">
        <f t="shared" si="5"/>
        <v>senior</v>
      </c>
      <c r="Q182" t="s">
        <v>1559</v>
      </c>
      <c r="R182" t="s">
        <v>1562</v>
      </c>
      <c r="S182" t="s">
        <v>1570</v>
      </c>
      <c r="T182">
        <v>1917267</v>
      </c>
      <c r="U182">
        <v>5</v>
      </c>
      <c r="V182" t="s">
        <v>1584</v>
      </c>
      <c r="W182" t="s">
        <v>1592</v>
      </c>
      <c r="X182">
        <v>10.43</v>
      </c>
    </row>
    <row r="183" spans="1:24" x14ac:dyDescent="0.25">
      <c r="A183" t="s">
        <v>203</v>
      </c>
      <c r="B183" s="4">
        <v>45956</v>
      </c>
      <c r="C183" s="4" t="str">
        <f t="shared" si="4"/>
        <v>Oct</v>
      </c>
      <c r="D183" t="s">
        <v>1522</v>
      </c>
      <c r="E183" t="s">
        <v>1526</v>
      </c>
      <c r="F183" t="s">
        <v>1529</v>
      </c>
      <c r="G183" t="s">
        <v>1543</v>
      </c>
      <c r="H183" t="s">
        <v>1550</v>
      </c>
      <c r="I183">
        <v>2024</v>
      </c>
      <c r="J183" t="s">
        <v>1554</v>
      </c>
      <c r="K183" t="s">
        <v>1556</v>
      </c>
      <c r="L183">
        <v>1222491</v>
      </c>
      <c r="M183">
        <v>1148824</v>
      </c>
      <c r="N183">
        <v>73667</v>
      </c>
      <c r="O183">
        <v>28</v>
      </c>
      <c r="P183" t="str">
        <f t="shared" si="5"/>
        <v>young</v>
      </c>
      <c r="Q183" t="s">
        <v>1558</v>
      </c>
      <c r="R183" t="s">
        <v>1565</v>
      </c>
      <c r="S183" t="s">
        <v>1567</v>
      </c>
      <c r="T183">
        <v>1466990</v>
      </c>
      <c r="U183">
        <v>2</v>
      </c>
      <c r="V183" t="s">
        <v>1574</v>
      </c>
      <c r="W183" t="s">
        <v>1593</v>
      </c>
      <c r="X183">
        <v>6.03</v>
      </c>
    </row>
    <row r="184" spans="1:24" x14ac:dyDescent="0.25">
      <c r="A184" t="s">
        <v>204</v>
      </c>
      <c r="B184" s="4">
        <v>46121</v>
      </c>
      <c r="C184" s="4" t="str">
        <f t="shared" si="4"/>
        <v>Apr</v>
      </c>
      <c r="D184" t="s">
        <v>1522</v>
      </c>
      <c r="E184" t="s">
        <v>1524</v>
      </c>
      <c r="F184" t="s">
        <v>1531</v>
      </c>
      <c r="G184" t="s">
        <v>1544</v>
      </c>
      <c r="H184" t="s">
        <v>1550</v>
      </c>
      <c r="I184">
        <v>2026</v>
      </c>
      <c r="J184" t="s">
        <v>1554</v>
      </c>
      <c r="K184" t="s">
        <v>1557</v>
      </c>
      <c r="L184">
        <v>1274766</v>
      </c>
      <c r="M184">
        <v>1150790</v>
      </c>
      <c r="N184">
        <v>123976</v>
      </c>
      <c r="O184">
        <v>53</v>
      </c>
      <c r="P184" t="str">
        <f t="shared" si="5"/>
        <v>senior</v>
      </c>
      <c r="Q184" t="s">
        <v>1558</v>
      </c>
      <c r="R184" t="s">
        <v>1565</v>
      </c>
      <c r="S184" t="s">
        <v>1567</v>
      </c>
      <c r="T184">
        <v>996197</v>
      </c>
      <c r="U184">
        <v>2</v>
      </c>
      <c r="V184" t="s">
        <v>1580</v>
      </c>
      <c r="W184" t="s">
        <v>1592</v>
      </c>
      <c r="X184">
        <v>9.73</v>
      </c>
    </row>
    <row r="185" spans="1:24" x14ac:dyDescent="0.25">
      <c r="A185" t="s">
        <v>205</v>
      </c>
      <c r="B185" s="4">
        <v>45951</v>
      </c>
      <c r="C185" s="4" t="str">
        <f t="shared" si="4"/>
        <v>Oct</v>
      </c>
      <c r="D185" t="s">
        <v>1522</v>
      </c>
      <c r="E185" t="s">
        <v>1523</v>
      </c>
      <c r="F185" t="s">
        <v>1532</v>
      </c>
      <c r="G185" t="s">
        <v>1543</v>
      </c>
      <c r="H185" t="s">
        <v>1552</v>
      </c>
      <c r="I185">
        <v>2024</v>
      </c>
      <c r="J185" t="s">
        <v>1555</v>
      </c>
      <c r="K185" t="s">
        <v>1556</v>
      </c>
      <c r="L185">
        <v>1930519</v>
      </c>
      <c r="M185">
        <v>1729796</v>
      </c>
      <c r="N185">
        <v>200723</v>
      </c>
      <c r="O185">
        <v>54</v>
      </c>
      <c r="P185" t="str">
        <f t="shared" si="5"/>
        <v>senior</v>
      </c>
      <c r="Q185" t="s">
        <v>1558</v>
      </c>
      <c r="R185" t="s">
        <v>1564</v>
      </c>
      <c r="S185" t="s">
        <v>1568</v>
      </c>
      <c r="T185">
        <v>952462</v>
      </c>
      <c r="U185">
        <v>1</v>
      </c>
      <c r="V185" t="s">
        <v>1574</v>
      </c>
      <c r="W185" t="s">
        <v>1593</v>
      </c>
      <c r="X185">
        <v>10.4</v>
      </c>
    </row>
    <row r="186" spans="1:24" x14ac:dyDescent="0.25">
      <c r="A186" t="s">
        <v>206</v>
      </c>
      <c r="B186" s="4">
        <v>45946</v>
      </c>
      <c r="C186" s="4" t="str">
        <f t="shared" si="4"/>
        <v>Oct</v>
      </c>
      <c r="D186" t="s">
        <v>1522</v>
      </c>
      <c r="E186" t="s">
        <v>1527</v>
      </c>
      <c r="F186" t="s">
        <v>1536</v>
      </c>
      <c r="G186" t="s">
        <v>1544</v>
      </c>
      <c r="H186" t="s">
        <v>4</v>
      </c>
      <c r="I186">
        <v>2023</v>
      </c>
      <c r="J186" t="s">
        <v>1554</v>
      </c>
      <c r="K186" t="s">
        <v>1557</v>
      </c>
      <c r="L186">
        <v>1877443</v>
      </c>
      <c r="M186">
        <v>1574554</v>
      </c>
      <c r="N186">
        <v>302889</v>
      </c>
      <c r="O186">
        <v>21</v>
      </c>
      <c r="P186" t="str">
        <f t="shared" si="5"/>
        <v>young</v>
      </c>
      <c r="Q186" t="s">
        <v>1558</v>
      </c>
      <c r="R186" t="s">
        <v>1566</v>
      </c>
      <c r="S186" t="s">
        <v>1567</v>
      </c>
      <c r="T186">
        <v>434814</v>
      </c>
      <c r="U186">
        <v>2</v>
      </c>
      <c r="V186" t="s">
        <v>1574</v>
      </c>
      <c r="W186" t="s">
        <v>1593</v>
      </c>
      <c r="X186">
        <v>16.13</v>
      </c>
    </row>
    <row r="187" spans="1:24" x14ac:dyDescent="0.25">
      <c r="A187" t="s">
        <v>207</v>
      </c>
      <c r="B187" s="4">
        <v>46239</v>
      </c>
      <c r="C187" s="4" t="str">
        <f t="shared" si="4"/>
        <v>Aug</v>
      </c>
      <c r="D187" t="s">
        <v>1522</v>
      </c>
      <c r="E187" t="s">
        <v>1525</v>
      </c>
      <c r="F187" t="s">
        <v>1532</v>
      </c>
      <c r="G187" t="s">
        <v>1546</v>
      </c>
      <c r="H187" t="s">
        <v>1551</v>
      </c>
      <c r="I187">
        <v>2025</v>
      </c>
      <c r="J187" t="s">
        <v>1554</v>
      </c>
      <c r="K187" t="s">
        <v>1556</v>
      </c>
      <c r="L187">
        <v>769331</v>
      </c>
      <c r="M187">
        <v>724489</v>
      </c>
      <c r="N187">
        <v>44842</v>
      </c>
      <c r="O187">
        <v>24</v>
      </c>
      <c r="P187" t="str">
        <f t="shared" si="5"/>
        <v>young</v>
      </c>
      <c r="Q187" t="s">
        <v>1559</v>
      </c>
      <c r="R187" t="s">
        <v>1565</v>
      </c>
      <c r="S187" t="s">
        <v>1567</v>
      </c>
      <c r="T187">
        <v>741325</v>
      </c>
      <c r="U187">
        <v>3</v>
      </c>
      <c r="V187" t="s">
        <v>1576</v>
      </c>
      <c r="W187" t="s">
        <v>1594</v>
      </c>
      <c r="X187">
        <v>5.83</v>
      </c>
    </row>
    <row r="188" spans="1:24" x14ac:dyDescent="0.25">
      <c r="A188" t="s">
        <v>208</v>
      </c>
      <c r="B188" s="4">
        <v>45893</v>
      </c>
      <c r="C188" s="4" t="str">
        <f t="shared" si="4"/>
        <v>Aug</v>
      </c>
      <c r="D188" t="s">
        <v>1522</v>
      </c>
      <c r="E188" t="s">
        <v>1526</v>
      </c>
      <c r="F188" t="s">
        <v>1528</v>
      </c>
      <c r="G188" t="s">
        <v>1538</v>
      </c>
      <c r="H188" t="s">
        <v>1550</v>
      </c>
      <c r="I188">
        <v>2025</v>
      </c>
      <c r="J188" t="s">
        <v>1554</v>
      </c>
      <c r="K188" t="s">
        <v>1557</v>
      </c>
      <c r="L188">
        <v>1677015</v>
      </c>
      <c r="M188">
        <v>1368645</v>
      </c>
      <c r="N188">
        <v>308370</v>
      </c>
      <c r="O188">
        <v>42</v>
      </c>
      <c r="P188" t="str">
        <f t="shared" si="5"/>
        <v>adult</v>
      </c>
      <c r="Q188" t="s">
        <v>1559</v>
      </c>
      <c r="R188" t="s">
        <v>1566</v>
      </c>
      <c r="S188" t="s">
        <v>1568</v>
      </c>
      <c r="T188">
        <v>136811</v>
      </c>
      <c r="U188">
        <v>1</v>
      </c>
      <c r="V188" t="s">
        <v>1585</v>
      </c>
      <c r="W188" t="s">
        <v>1594</v>
      </c>
      <c r="X188">
        <v>18.39</v>
      </c>
    </row>
    <row r="189" spans="1:24" x14ac:dyDescent="0.25">
      <c r="A189" t="s">
        <v>209</v>
      </c>
      <c r="B189" s="4">
        <v>46200</v>
      </c>
      <c r="C189" s="4" t="str">
        <f t="shared" si="4"/>
        <v>Jun</v>
      </c>
      <c r="D189" t="s">
        <v>1522</v>
      </c>
      <c r="E189" t="s">
        <v>1525</v>
      </c>
      <c r="F189" t="s">
        <v>1532</v>
      </c>
      <c r="G189" t="s">
        <v>1544</v>
      </c>
      <c r="H189" t="s">
        <v>4</v>
      </c>
      <c r="I189">
        <v>2025</v>
      </c>
      <c r="J189" t="s">
        <v>1554</v>
      </c>
      <c r="K189" t="s">
        <v>1557</v>
      </c>
      <c r="L189">
        <v>1698500</v>
      </c>
      <c r="M189">
        <v>1425483</v>
      </c>
      <c r="N189">
        <v>273017</v>
      </c>
      <c r="O189">
        <v>36</v>
      </c>
      <c r="P189" t="str">
        <f t="shared" si="5"/>
        <v>adult</v>
      </c>
      <c r="Q189" t="s">
        <v>1559</v>
      </c>
      <c r="R189" t="s">
        <v>1563</v>
      </c>
      <c r="S189" t="s">
        <v>1567</v>
      </c>
      <c r="T189">
        <v>2040824</v>
      </c>
      <c r="U189">
        <v>4</v>
      </c>
      <c r="V189" t="s">
        <v>1582</v>
      </c>
      <c r="W189" t="s">
        <v>1592</v>
      </c>
      <c r="X189">
        <v>16.07</v>
      </c>
    </row>
    <row r="190" spans="1:24" x14ac:dyDescent="0.25">
      <c r="A190" t="s">
        <v>210</v>
      </c>
      <c r="B190" s="4">
        <v>46100</v>
      </c>
      <c r="C190" s="4" t="str">
        <f t="shared" si="4"/>
        <v>Mar</v>
      </c>
      <c r="D190" t="s">
        <v>1522</v>
      </c>
      <c r="E190" t="s">
        <v>1526</v>
      </c>
      <c r="F190" t="s">
        <v>1533</v>
      </c>
      <c r="G190" t="s">
        <v>1545</v>
      </c>
      <c r="H190" t="s">
        <v>1550</v>
      </c>
      <c r="I190">
        <v>2023</v>
      </c>
      <c r="J190" t="s">
        <v>1554</v>
      </c>
      <c r="K190" t="s">
        <v>1556</v>
      </c>
      <c r="L190">
        <v>1717619</v>
      </c>
      <c r="M190">
        <v>1428504</v>
      </c>
      <c r="N190">
        <v>289115</v>
      </c>
      <c r="O190">
        <v>32</v>
      </c>
      <c r="P190" t="str">
        <f t="shared" si="5"/>
        <v>adult</v>
      </c>
      <c r="Q190" t="s">
        <v>1560</v>
      </c>
      <c r="R190" t="s">
        <v>1563</v>
      </c>
      <c r="S190" t="s">
        <v>1567</v>
      </c>
      <c r="T190">
        <v>1981110</v>
      </c>
      <c r="U190">
        <v>1</v>
      </c>
      <c r="V190" t="s">
        <v>1586</v>
      </c>
      <c r="W190" t="s">
        <v>1591</v>
      </c>
      <c r="X190">
        <v>16.829999999999998</v>
      </c>
    </row>
    <row r="191" spans="1:24" x14ac:dyDescent="0.25">
      <c r="A191" t="s">
        <v>211</v>
      </c>
      <c r="B191" s="4">
        <v>45935</v>
      </c>
      <c r="C191" s="4" t="str">
        <f t="shared" si="4"/>
        <v>Oct</v>
      </c>
      <c r="D191" t="s">
        <v>1522</v>
      </c>
      <c r="E191" t="s">
        <v>1523</v>
      </c>
      <c r="F191" t="s">
        <v>1531</v>
      </c>
      <c r="G191" t="s">
        <v>1546</v>
      </c>
      <c r="H191" t="s">
        <v>4</v>
      </c>
      <c r="I191">
        <v>2023</v>
      </c>
      <c r="J191" t="s">
        <v>1554</v>
      </c>
      <c r="K191" t="s">
        <v>1556</v>
      </c>
      <c r="L191">
        <v>1730988</v>
      </c>
      <c r="M191">
        <v>1478269</v>
      </c>
      <c r="N191">
        <v>252719</v>
      </c>
      <c r="O191">
        <v>52</v>
      </c>
      <c r="P191" t="str">
        <f t="shared" si="5"/>
        <v>senior</v>
      </c>
      <c r="Q191" t="s">
        <v>1558</v>
      </c>
      <c r="R191" t="s">
        <v>1561</v>
      </c>
      <c r="S191" t="s">
        <v>1567</v>
      </c>
      <c r="T191">
        <v>1042462</v>
      </c>
      <c r="U191">
        <v>1</v>
      </c>
      <c r="V191" t="s">
        <v>1574</v>
      </c>
      <c r="W191" t="s">
        <v>1593</v>
      </c>
      <c r="X191">
        <v>14.6</v>
      </c>
    </row>
    <row r="192" spans="1:24" x14ac:dyDescent="0.25">
      <c r="A192" t="s">
        <v>212</v>
      </c>
      <c r="B192" s="4">
        <v>45755</v>
      </c>
      <c r="C192" s="4" t="str">
        <f t="shared" si="4"/>
        <v>Apr</v>
      </c>
      <c r="D192" t="s">
        <v>1522</v>
      </c>
      <c r="E192" t="s">
        <v>1523</v>
      </c>
      <c r="F192" t="s">
        <v>1534</v>
      </c>
      <c r="G192" t="s">
        <v>1543</v>
      </c>
      <c r="H192" t="s">
        <v>4</v>
      </c>
      <c r="I192">
        <v>2024</v>
      </c>
      <c r="J192" t="s">
        <v>1554</v>
      </c>
      <c r="K192" t="s">
        <v>1556</v>
      </c>
      <c r="L192">
        <v>1529636</v>
      </c>
      <c r="M192">
        <v>1361149</v>
      </c>
      <c r="N192">
        <v>168487</v>
      </c>
      <c r="O192">
        <v>22</v>
      </c>
      <c r="P192" t="str">
        <f t="shared" si="5"/>
        <v>young</v>
      </c>
      <c r="Q192" t="s">
        <v>1558</v>
      </c>
      <c r="R192" t="s">
        <v>1561</v>
      </c>
      <c r="S192" t="s">
        <v>1567</v>
      </c>
      <c r="T192">
        <v>656461</v>
      </c>
      <c r="U192">
        <v>1</v>
      </c>
      <c r="V192" t="s">
        <v>1573</v>
      </c>
      <c r="W192" t="s">
        <v>1592</v>
      </c>
      <c r="X192">
        <v>11.01</v>
      </c>
    </row>
    <row r="193" spans="1:24" x14ac:dyDescent="0.25">
      <c r="A193" t="s">
        <v>213</v>
      </c>
      <c r="B193" s="4">
        <v>45856</v>
      </c>
      <c r="C193" s="4" t="str">
        <f t="shared" si="4"/>
        <v>Jul</v>
      </c>
      <c r="D193" t="s">
        <v>1522</v>
      </c>
      <c r="E193" t="s">
        <v>1526</v>
      </c>
      <c r="F193" t="s">
        <v>1533</v>
      </c>
      <c r="G193" t="s">
        <v>1544</v>
      </c>
      <c r="H193" t="s">
        <v>1551</v>
      </c>
      <c r="I193">
        <v>2024</v>
      </c>
      <c r="J193" t="s">
        <v>1554</v>
      </c>
      <c r="K193" t="s">
        <v>1557</v>
      </c>
      <c r="L193">
        <v>977183</v>
      </c>
      <c r="M193">
        <v>850214</v>
      </c>
      <c r="N193">
        <v>126969</v>
      </c>
      <c r="O193">
        <v>48</v>
      </c>
      <c r="P193" t="str">
        <f t="shared" si="5"/>
        <v>adult</v>
      </c>
      <c r="Q193" t="s">
        <v>1558</v>
      </c>
      <c r="R193" t="s">
        <v>1563</v>
      </c>
      <c r="S193" t="s">
        <v>1569</v>
      </c>
      <c r="T193">
        <v>1547311</v>
      </c>
      <c r="U193">
        <v>5</v>
      </c>
      <c r="V193" t="s">
        <v>1579</v>
      </c>
      <c r="W193" t="s">
        <v>1594</v>
      </c>
      <c r="X193">
        <v>12.99</v>
      </c>
    </row>
    <row r="194" spans="1:24" x14ac:dyDescent="0.25">
      <c r="A194" t="s">
        <v>214</v>
      </c>
      <c r="B194" s="4">
        <v>46171</v>
      </c>
      <c r="C194" s="4" t="str">
        <f t="shared" si="4"/>
        <v>May</v>
      </c>
      <c r="D194" t="s">
        <v>1522</v>
      </c>
      <c r="E194" t="s">
        <v>1527</v>
      </c>
      <c r="F194" t="s">
        <v>1531</v>
      </c>
      <c r="G194" t="s">
        <v>1543</v>
      </c>
      <c r="H194" t="s">
        <v>1551</v>
      </c>
      <c r="I194">
        <v>2023</v>
      </c>
      <c r="J194" t="s">
        <v>1553</v>
      </c>
      <c r="K194" t="s">
        <v>1556</v>
      </c>
      <c r="L194">
        <v>1044735</v>
      </c>
      <c r="M194">
        <v>951913</v>
      </c>
      <c r="N194">
        <v>92822</v>
      </c>
      <c r="O194">
        <v>39</v>
      </c>
      <c r="P194" t="str">
        <f t="shared" si="5"/>
        <v>adult</v>
      </c>
      <c r="Q194" t="s">
        <v>1558</v>
      </c>
      <c r="R194" t="s">
        <v>1562</v>
      </c>
      <c r="S194" t="s">
        <v>1570</v>
      </c>
      <c r="T194">
        <v>1674657</v>
      </c>
      <c r="U194">
        <v>1</v>
      </c>
      <c r="V194" t="s">
        <v>1590</v>
      </c>
      <c r="W194" t="s">
        <v>1592</v>
      </c>
      <c r="X194">
        <v>8.8800000000000008</v>
      </c>
    </row>
    <row r="195" spans="1:24" x14ac:dyDescent="0.25">
      <c r="A195" t="s">
        <v>215</v>
      </c>
      <c r="B195" s="4">
        <v>45979</v>
      </c>
      <c r="C195" s="4" t="str">
        <f t="shared" ref="C195:C258" si="6">TEXT(B195,"MMM")</f>
        <v>Nov</v>
      </c>
      <c r="D195" t="s">
        <v>1522</v>
      </c>
      <c r="E195" t="s">
        <v>1527</v>
      </c>
      <c r="F195" t="s">
        <v>1532</v>
      </c>
      <c r="G195" t="s">
        <v>1547</v>
      </c>
      <c r="H195" t="s">
        <v>1551</v>
      </c>
      <c r="I195">
        <v>2023</v>
      </c>
      <c r="J195" t="s">
        <v>1554</v>
      </c>
      <c r="K195" t="s">
        <v>1556</v>
      </c>
      <c r="L195">
        <v>997471</v>
      </c>
      <c r="M195">
        <v>887481</v>
      </c>
      <c r="N195">
        <v>109990</v>
      </c>
      <c r="O195">
        <v>35</v>
      </c>
      <c r="P195" t="str">
        <f t="shared" ref="P195:P258" si="7">IF(O195&gt;50,"senior",IF(O195&gt;30,"adult","young"))</f>
        <v>adult</v>
      </c>
      <c r="Q195" t="s">
        <v>1558</v>
      </c>
      <c r="R195" t="s">
        <v>1566</v>
      </c>
      <c r="S195" t="s">
        <v>1568</v>
      </c>
      <c r="T195">
        <v>757681</v>
      </c>
      <c r="U195">
        <v>4</v>
      </c>
      <c r="V195" t="s">
        <v>1583</v>
      </c>
      <c r="W195" t="s">
        <v>1593</v>
      </c>
      <c r="X195">
        <v>11.03</v>
      </c>
    </row>
    <row r="196" spans="1:24" x14ac:dyDescent="0.25">
      <c r="A196" t="s">
        <v>216</v>
      </c>
      <c r="B196" s="4">
        <v>45801</v>
      </c>
      <c r="C196" s="4" t="str">
        <f t="shared" si="6"/>
        <v>May</v>
      </c>
      <c r="D196" t="s">
        <v>1522</v>
      </c>
      <c r="E196" t="s">
        <v>1527</v>
      </c>
      <c r="F196" t="s">
        <v>1533</v>
      </c>
      <c r="G196" t="s">
        <v>1544</v>
      </c>
      <c r="H196" t="s">
        <v>1550</v>
      </c>
      <c r="I196">
        <v>2025</v>
      </c>
      <c r="J196" t="s">
        <v>1554</v>
      </c>
      <c r="K196" t="s">
        <v>1556</v>
      </c>
      <c r="L196">
        <v>1194868</v>
      </c>
      <c r="M196">
        <v>1046198</v>
      </c>
      <c r="N196">
        <v>148670</v>
      </c>
      <c r="O196">
        <v>39</v>
      </c>
      <c r="P196" t="str">
        <f t="shared" si="7"/>
        <v>adult</v>
      </c>
      <c r="Q196" t="s">
        <v>1559</v>
      </c>
      <c r="R196" t="s">
        <v>1563</v>
      </c>
      <c r="S196" t="s">
        <v>1567</v>
      </c>
      <c r="T196">
        <v>1840361</v>
      </c>
      <c r="U196">
        <v>4</v>
      </c>
      <c r="V196" t="s">
        <v>1572</v>
      </c>
      <c r="W196" t="s">
        <v>1592</v>
      </c>
      <c r="X196">
        <v>12.44</v>
      </c>
    </row>
    <row r="197" spans="1:24" x14ac:dyDescent="0.25">
      <c r="A197" t="s">
        <v>217</v>
      </c>
      <c r="B197" s="4">
        <v>45807</v>
      </c>
      <c r="C197" s="4" t="str">
        <f t="shared" si="6"/>
        <v>May</v>
      </c>
      <c r="D197" t="s">
        <v>1522</v>
      </c>
      <c r="E197" t="s">
        <v>1526</v>
      </c>
      <c r="F197" t="s">
        <v>1528</v>
      </c>
      <c r="G197" t="s">
        <v>1541</v>
      </c>
      <c r="H197" t="s">
        <v>1551</v>
      </c>
      <c r="I197">
        <v>2024</v>
      </c>
      <c r="J197" t="s">
        <v>1554</v>
      </c>
      <c r="K197" t="s">
        <v>1556</v>
      </c>
      <c r="L197">
        <v>898247</v>
      </c>
      <c r="M197">
        <v>822496</v>
      </c>
      <c r="N197">
        <v>75751</v>
      </c>
      <c r="O197">
        <v>43</v>
      </c>
      <c r="P197" t="str">
        <f t="shared" si="7"/>
        <v>adult</v>
      </c>
      <c r="Q197" t="s">
        <v>1558</v>
      </c>
      <c r="R197" t="s">
        <v>1563</v>
      </c>
      <c r="S197" t="s">
        <v>1568</v>
      </c>
      <c r="T197">
        <v>807073</v>
      </c>
      <c r="U197">
        <v>3</v>
      </c>
      <c r="V197" t="s">
        <v>1572</v>
      </c>
      <c r="W197" t="s">
        <v>1592</v>
      </c>
      <c r="X197">
        <v>8.43</v>
      </c>
    </row>
    <row r="198" spans="1:24" x14ac:dyDescent="0.25">
      <c r="A198" t="s">
        <v>218</v>
      </c>
      <c r="B198" s="4">
        <v>46100</v>
      </c>
      <c r="C198" s="4" t="str">
        <f t="shared" si="6"/>
        <v>Mar</v>
      </c>
      <c r="D198" t="s">
        <v>1522</v>
      </c>
      <c r="E198" t="s">
        <v>1525</v>
      </c>
      <c r="F198" t="s">
        <v>1535</v>
      </c>
      <c r="G198" t="s">
        <v>1547</v>
      </c>
      <c r="H198" t="s">
        <v>1552</v>
      </c>
      <c r="I198">
        <v>2026</v>
      </c>
      <c r="J198" t="s">
        <v>1555</v>
      </c>
      <c r="K198" t="s">
        <v>1556</v>
      </c>
      <c r="L198">
        <v>1968555</v>
      </c>
      <c r="M198">
        <v>1814425</v>
      </c>
      <c r="N198">
        <v>154130</v>
      </c>
      <c r="O198">
        <v>59</v>
      </c>
      <c r="P198" t="str">
        <f t="shared" si="7"/>
        <v>senior</v>
      </c>
      <c r="Q198" t="s">
        <v>1558</v>
      </c>
      <c r="R198" t="s">
        <v>1563</v>
      </c>
      <c r="S198" t="s">
        <v>1567</v>
      </c>
      <c r="T198">
        <v>345339</v>
      </c>
      <c r="U198">
        <v>5</v>
      </c>
      <c r="V198" t="s">
        <v>1586</v>
      </c>
      <c r="W198" t="s">
        <v>1591</v>
      </c>
      <c r="X198">
        <v>7.83</v>
      </c>
    </row>
    <row r="199" spans="1:24" x14ac:dyDescent="0.25">
      <c r="A199" t="s">
        <v>219</v>
      </c>
      <c r="B199" s="4">
        <v>46227</v>
      </c>
      <c r="C199" s="4" t="str">
        <f t="shared" si="6"/>
        <v>Jul</v>
      </c>
      <c r="D199" t="s">
        <v>1522</v>
      </c>
      <c r="E199" t="s">
        <v>1527</v>
      </c>
      <c r="F199" t="s">
        <v>1532</v>
      </c>
      <c r="G199" t="s">
        <v>1547</v>
      </c>
      <c r="H199" t="s">
        <v>4</v>
      </c>
      <c r="I199">
        <v>2025</v>
      </c>
      <c r="J199" t="s">
        <v>1554</v>
      </c>
      <c r="K199" t="s">
        <v>1556</v>
      </c>
      <c r="L199">
        <v>1356328</v>
      </c>
      <c r="M199">
        <v>1163604</v>
      </c>
      <c r="N199">
        <v>192724</v>
      </c>
      <c r="O199">
        <v>52</v>
      </c>
      <c r="P199" t="str">
        <f t="shared" si="7"/>
        <v>senior</v>
      </c>
      <c r="Q199" t="s">
        <v>1559</v>
      </c>
      <c r="R199" t="s">
        <v>1565</v>
      </c>
      <c r="S199" t="s">
        <v>1569</v>
      </c>
      <c r="T199">
        <v>2119079</v>
      </c>
      <c r="U199">
        <v>2</v>
      </c>
      <c r="V199" t="s">
        <v>1587</v>
      </c>
      <c r="W199" t="s">
        <v>1594</v>
      </c>
      <c r="X199">
        <v>14.21</v>
      </c>
    </row>
    <row r="200" spans="1:24" x14ac:dyDescent="0.25">
      <c r="A200" t="s">
        <v>220</v>
      </c>
      <c r="B200" s="4">
        <v>46101</v>
      </c>
      <c r="C200" s="4" t="str">
        <f t="shared" si="6"/>
        <v>Mar</v>
      </c>
      <c r="D200" t="s">
        <v>1522</v>
      </c>
      <c r="E200" t="s">
        <v>1525</v>
      </c>
      <c r="F200" t="s">
        <v>1532</v>
      </c>
      <c r="G200" t="s">
        <v>1546</v>
      </c>
      <c r="H200" t="s">
        <v>4</v>
      </c>
      <c r="I200">
        <v>2022</v>
      </c>
      <c r="J200" t="s">
        <v>1554</v>
      </c>
      <c r="K200" t="s">
        <v>1557</v>
      </c>
      <c r="L200">
        <v>1225837</v>
      </c>
      <c r="M200">
        <v>1154528</v>
      </c>
      <c r="N200">
        <v>71309</v>
      </c>
      <c r="O200">
        <v>56</v>
      </c>
      <c r="P200" t="str">
        <f t="shared" si="7"/>
        <v>senior</v>
      </c>
      <c r="Q200" t="s">
        <v>1559</v>
      </c>
      <c r="R200" t="s">
        <v>1562</v>
      </c>
      <c r="S200" t="s">
        <v>1567</v>
      </c>
      <c r="T200">
        <v>1061163</v>
      </c>
      <c r="U200">
        <v>1</v>
      </c>
      <c r="V200" t="s">
        <v>1586</v>
      </c>
      <c r="W200" t="s">
        <v>1591</v>
      </c>
      <c r="X200">
        <v>5.82</v>
      </c>
    </row>
    <row r="201" spans="1:24" x14ac:dyDescent="0.25">
      <c r="A201" t="s">
        <v>221</v>
      </c>
      <c r="B201" s="4">
        <v>46214</v>
      </c>
      <c r="C201" s="4" t="str">
        <f t="shared" si="6"/>
        <v>Jul</v>
      </c>
      <c r="D201" t="s">
        <v>1522</v>
      </c>
      <c r="E201" t="s">
        <v>1526</v>
      </c>
      <c r="F201" t="s">
        <v>1536</v>
      </c>
      <c r="G201" t="s">
        <v>1539</v>
      </c>
      <c r="H201" t="s">
        <v>4</v>
      </c>
      <c r="I201">
        <v>2025</v>
      </c>
      <c r="J201" t="s">
        <v>1554</v>
      </c>
      <c r="K201" t="s">
        <v>1556</v>
      </c>
      <c r="L201">
        <v>1601755</v>
      </c>
      <c r="M201">
        <v>1449548</v>
      </c>
      <c r="N201">
        <v>152207</v>
      </c>
      <c r="O201">
        <v>57</v>
      </c>
      <c r="P201" t="str">
        <f t="shared" si="7"/>
        <v>senior</v>
      </c>
      <c r="Q201" t="s">
        <v>1559</v>
      </c>
      <c r="R201" t="s">
        <v>1563</v>
      </c>
      <c r="S201" t="s">
        <v>1567</v>
      </c>
      <c r="T201">
        <v>1559131</v>
      </c>
      <c r="U201">
        <v>4</v>
      </c>
      <c r="V201" t="s">
        <v>1587</v>
      </c>
      <c r="W201" t="s">
        <v>1594</v>
      </c>
      <c r="X201">
        <v>9.5</v>
      </c>
    </row>
    <row r="202" spans="1:24" x14ac:dyDescent="0.25">
      <c r="A202" t="s">
        <v>222</v>
      </c>
      <c r="B202" s="4">
        <v>45831</v>
      </c>
      <c r="C202" s="4" t="str">
        <f t="shared" si="6"/>
        <v>Jun</v>
      </c>
      <c r="D202" t="s">
        <v>1522</v>
      </c>
      <c r="E202" t="s">
        <v>1524</v>
      </c>
      <c r="F202" t="s">
        <v>1530</v>
      </c>
      <c r="G202" t="s">
        <v>1538</v>
      </c>
      <c r="H202" t="s">
        <v>1550</v>
      </c>
      <c r="I202">
        <v>2023</v>
      </c>
      <c r="J202" t="s">
        <v>1554</v>
      </c>
      <c r="K202" t="s">
        <v>1556</v>
      </c>
      <c r="L202">
        <v>1179071</v>
      </c>
      <c r="M202">
        <v>986238</v>
      </c>
      <c r="N202">
        <v>192833</v>
      </c>
      <c r="O202">
        <v>21</v>
      </c>
      <c r="P202" t="str">
        <f t="shared" si="7"/>
        <v>young</v>
      </c>
      <c r="Q202" t="s">
        <v>1558</v>
      </c>
      <c r="R202" t="s">
        <v>1564</v>
      </c>
      <c r="S202" t="s">
        <v>1570</v>
      </c>
      <c r="T202">
        <v>1854249</v>
      </c>
      <c r="U202">
        <v>4</v>
      </c>
      <c r="V202" t="s">
        <v>1584</v>
      </c>
      <c r="W202" t="s">
        <v>1592</v>
      </c>
      <c r="X202">
        <v>16.350000000000001</v>
      </c>
    </row>
    <row r="203" spans="1:24" x14ac:dyDescent="0.25">
      <c r="A203" t="s">
        <v>223</v>
      </c>
      <c r="B203" s="4">
        <v>46072</v>
      </c>
      <c r="C203" s="4" t="str">
        <f t="shared" si="6"/>
        <v>Feb</v>
      </c>
      <c r="D203" t="s">
        <v>1522</v>
      </c>
      <c r="E203" t="s">
        <v>1527</v>
      </c>
      <c r="F203" t="s">
        <v>1530</v>
      </c>
      <c r="G203" t="s">
        <v>1545</v>
      </c>
      <c r="H203" t="s">
        <v>1550</v>
      </c>
      <c r="I203">
        <v>2024</v>
      </c>
      <c r="J203" t="s">
        <v>1554</v>
      </c>
      <c r="K203" t="s">
        <v>1557</v>
      </c>
      <c r="L203">
        <v>1367432</v>
      </c>
      <c r="M203">
        <v>1225739</v>
      </c>
      <c r="N203">
        <v>141693</v>
      </c>
      <c r="O203">
        <v>23</v>
      </c>
      <c r="P203" t="str">
        <f t="shared" si="7"/>
        <v>young</v>
      </c>
      <c r="Q203" t="s">
        <v>1559</v>
      </c>
      <c r="R203" t="s">
        <v>1563</v>
      </c>
      <c r="S203" t="s">
        <v>1568</v>
      </c>
      <c r="T203">
        <v>1666654</v>
      </c>
      <c r="U203">
        <v>4</v>
      </c>
      <c r="V203" t="s">
        <v>1589</v>
      </c>
      <c r="W203" t="s">
        <v>1591</v>
      </c>
      <c r="X203">
        <v>10.36</v>
      </c>
    </row>
    <row r="204" spans="1:24" x14ac:dyDescent="0.25">
      <c r="A204" t="s">
        <v>224</v>
      </c>
      <c r="B204" s="4">
        <v>45665</v>
      </c>
      <c r="C204" s="4" t="str">
        <f t="shared" si="6"/>
        <v>Jan</v>
      </c>
      <c r="D204" t="s">
        <v>1522</v>
      </c>
      <c r="E204" t="s">
        <v>1524</v>
      </c>
      <c r="F204" t="s">
        <v>1529</v>
      </c>
      <c r="G204" t="s">
        <v>1542</v>
      </c>
      <c r="H204" t="s">
        <v>4</v>
      </c>
      <c r="I204">
        <v>2024</v>
      </c>
      <c r="J204" t="s">
        <v>1554</v>
      </c>
      <c r="K204" t="s">
        <v>1556</v>
      </c>
      <c r="L204">
        <v>1412261</v>
      </c>
      <c r="M204">
        <v>1233342</v>
      </c>
      <c r="N204">
        <v>178919</v>
      </c>
      <c r="O204">
        <v>48</v>
      </c>
      <c r="P204" t="str">
        <f t="shared" si="7"/>
        <v>adult</v>
      </c>
      <c r="Q204" t="s">
        <v>1559</v>
      </c>
      <c r="R204" t="s">
        <v>1562</v>
      </c>
      <c r="S204" t="s">
        <v>1567</v>
      </c>
      <c r="T204">
        <v>646584</v>
      </c>
      <c r="U204">
        <v>2</v>
      </c>
      <c r="V204" t="s">
        <v>1571</v>
      </c>
      <c r="W204" t="s">
        <v>1591</v>
      </c>
      <c r="X204">
        <v>12.67</v>
      </c>
    </row>
    <row r="205" spans="1:24" x14ac:dyDescent="0.25">
      <c r="A205" t="s">
        <v>225</v>
      </c>
      <c r="B205" s="4">
        <v>45945</v>
      </c>
      <c r="C205" s="4" t="str">
        <f t="shared" si="6"/>
        <v>Oct</v>
      </c>
      <c r="D205" t="s">
        <v>1522</v>
      </c>
      <c r="E205" t="s">
        <v>1523</v>
      </c>
      <c r="F205" t="s">
        <v>1537</v>
      </c>
      <c r="G205" t="s">
        <v>1540</v>
      </c>
      <c r="H205" t="s">
        <v>1550</v>
      </c>
      <c r="I205">
        <v>2022</v>
      </c>
      <c r="J205" t="s">
        <v>1554</v>
      </c>
      <c r="K205" t="s">
        <v>1556</v>
      </c>
      <c r="L205">
        <v>1433036</v>
      </c>
      <c r="M205">
        <v>1318522</v>
      </c>
      <c r="N205">
        <v>114514</v>
      </c>
      <c r="O205">
        <v>24</v>
      </c>
      <c r="P205" t="str">
        <f t="shared" si="7"/>
        <v>young</v>
      </c>
      <c r="Q205" t="s">
        <v>1558</v>
      </c>
      <c r="R205" t="s">
        <v>1563</v>
      </c>
      <c r="S205" t="s">
        <v>1567</v>
      </c>
      <c r="T205">
        <v>1380843</v>
      </c>
      <c r="U205">
        <v>5</v>
      </c>
      <c r="V205" t="s">
        <v>1574</v>
      </c>
      <c r="W205" t="s">
        <v>1593</v>
      </c>
      <c r="X205">
        <v>7.99</v>
      </c>
    </row>
    <row r="206" spans="1:24" x14ac:dyDescent="0.25">
      <c r="A206" t="s">
        <v>226</v>
      </c>
      <c r="B206" s="4">
        <v>46031</v>
      </c>
      <c r="C206" s="4" t="str">
        <f t="shared" si="6"/>
        <v>Jan</v>
      </c>
      <c r="D206" t="s">
        <v>1522</v>
      </c>
      <c r="E206" t="s">
        <v>1523</v>
      </c>
      <c r="F206" t="s">
        <v>1535</v>
      </c>
      <c r="G206" t="s">
        <v>1549</v>
      </c>
      <c r="H206" t="s">
        <v>1550</v>
      </c>
      <c r="I206">
        <v>2026</v>
      </c>
      <c r="J206" t="s">
        <v>1554</v>
      </c>
      <c r="K206" t="s">
        <v>1556</v>
      </c>
      <c r="L206">
        <v>1311801</v>
      </c>
      <c r="M206">
        <v>1163922</v>
      </c>
      <c r="N206">
        <v>147879</v>
      </c>
      <c r="O206">
        <v>31</v>
      </c>
      <c r="P206" t="str">
        <f t="shared" si="7"/>
        <v>adult</v>
      </c>
      <c r="Q206" t="s">
        <v>1559</v>
      </c>
      <c r="R206" t="s">
        <v>1566</v>
      </c>
      <c r="S206" t="s">
        <v>1567</v>
      </c>
      <c r="T206">
        <v>2171050</v>
      </c>
      <c r="U206">
        <v>2</v>
      </c>
      <c r="V206" t="s">
        <v>1581</v>
      </c>
      <c r="W206" t="s">
        <v>1591</v>
      </c>
      <c r="X206">
        <v>11.27</v>
      </c>
    </row>
    <row r="207" spans="1:24" x14ac:dyDescent="0.25">
      <c r="A207" t="s">
        <v>227</v>
      </c>
      <c r="B207" s="4">
        <v>46157</v>
      </c>
      <c r="C207" s="4" t="str">
        <f t="shared" si="6"/>
        <v>May</v>
      </c>
      <c r="D207" t="s">
        <v>1522</v>
      </c>
      <c r="E207" t="s">
        <v>1523</v>
      </c>
      <c r="F207" t="s">
        <v>1537</v>
      </c>
      <c r="G207" t="s">
        <v>1544</v>
      </c>
      <c r="H207" t="s">
        <v>1550</v>
      </c>
      <c r="I207">
        <v>2024</v>
      </c>
      <c r="J207" t="s">
        <v>1554</v>
      </c>
      <c r="K207" t="s">
        <v>1557</v>
      </c>
      <c r="L207">
        <v>1429091</v>
      </c>
      <c r="M207">
        <v>1234155</v>
      </c>
      <c r="N207">
        <v>194936</v>
      </c>
      <c r="O207">
        <v>33</v>
      </c>
      <c r="P207" t="str">
        <f t="shared" si="7"/>
        <v>adult</v>
      </c>
      <c r="Q207" t="s">
        <v>1558</v>
      </c>
      <c r="R207" t="s">
        <v>1562</v>
      </c>
      <c r="S207" t="s">
        <v>1567</v>
      </c>
      <c r="T207">
        <v>1649738</v>
      </c>
      <c r="U207">
        <v>1</v>
      </c>
      <c r="V207" t="s">
        <v>1590</v>
      </c>
      <c r="W207" t="s">
        <v>1592</v>
      </c>
      <c r="X207">
        <v>13.64</v>
      </c>
    </row>
    <row r="208" spans="1:24" x14ac:dyDescent="0.25">
      <c r="A208" t="s">
        <v>228</v>
      </c>
      <c r="B208" s="4">
        <v>45853</v>
      </c>
      <c r="C208" s="4" t="str">
        <f t="shared" si="6"/>
        <v>Jul</v>
      </c>
      <c r="D208" t="s">
        <v>1522</v>
      </c>
      <c r="E208" t="s">
        <v>1523</v>
      </c>
      <c r="F208" t="s">
        <v>1534</v>
      </c>
      <c r="G208" t="s">
        <v>1539</v>
      </c>
      <c r="H208" t="s">
        <v>4</v>
      </c>
      <c r="I208">
        <v>2025</v>
      </c>
      <c r="J208" t="s">
        <v>1554</v>
      </c>
      <c r="K208" t="s">
        <v>1557</v>
      </c>
      <c r="L208">
        <v>1659917</v>
      </c>
      <c r="M208">
        <v>1575779</v>
      </c>
      <c r="N208">
        <v>84138</v>
      </c>
      <c r="O208">
        <v>34</v>
      </c>
      <c r="P208" t="str">
        <f t="shared" si="7"/>
        <v>adult</v>
      </c>
      <c r="Q208" t="s">
        <v>1558</v>
      </c>
      <c r="R208" t="s">
        <v>1563</v>
      </c>
      <c r="S208" t="s">
        <v>1568</v>
      </c>
      <c r="T208">
        <v>1916051</v>
      </c>
      <c r="U208">
        <v>2</v>
      </c>
      <c r="V208" t="s">
        <v>1579</v>
      </c>
      <c r="W208" t="s">
        <v>1594</v>
      </c>
      <c r="X208">
        <v>5.07</v>
      </c>
    </row>
    <row r="209" spans="1:24" x14ac:dyDescent="0.25">
      <c r="A209" t="s">
        <v>229</v>
      </c>
      <c r="B209" s="4">
        <v>45942</v>
      </c>
      <c r="C209" s="4" t="str">
        <f t="shared" si="6"/>
        <v>Oct</v>
      </c>
      <c r="D209" t="s">
        <v>1522</v>
      </c>
      <c r="E209" t="s">
        <v>1526</v>
      </c>
      <c r="F209" t="s">
        <v>1533</v>
      </c>
      <c r="G209" t="s">
        <v>1543</v>
      </c>
      <c r="H209" t="s">
        <v>4</v>
      </c>
      <c r="I209">
        <v>2024</v>
      </c>
      <c r="J209" t="s">
        <v>1554</v>
      </c>
      <c r="K209" t="s">
        <v>1556</v>
      </c>
      <c r="L209">
        <v>1209014</v>
      </c>
      <c r="M209">
        <v>1068058</v>
      </c>
      <c r="N209">
        <v>140956</v>
      </c>
      <c r="O209">
        <v>36</v>
      </c>
      <c r="P209" t="str">
        <f t="shared" si="7"/>
        <v>adult</v>
      </c>
      <c r="Q209" t="s">
        <v>1558</v>
      </c>
      <c r="R209" t="s">
        <v>1562</v>
      </c>
      <c r="S209" t="s">
        <v>1570</v>
      </c>
      <c r="T209">
        <v>1382596</v>
      </c>
      <c r="U209">
        <v>5</v>
      </c>
      <c r="V209" t="s">
        <v>1574</v>
      </c>
      <c r="W209" t="s">
        <v>1593</v>
      </c>
      <c r="X209">
        <v>11.66</v>
      </c>
    </row>
    <row r="210" spans="1:24" x14ac:dyDescent="0.25">
      <c r="A210" t="s">
        <v>230</v>
      </c>
      <c r="B210" s="4">
        <v>45816</v>
      </c>
      <c r="C210" s="4" t="str">
        <f t="shared" si="6"/>
        <v>Jun</v>
      </c>
      <c r="D210" t="s">
        <v>1522</v>
      </c>
      <c r="E210" t="s">
        <v>1523</v>
      </c>
      <c r="F210" t="s">
        <v>1529</v>
      </c>
      <c r="G210" t="s">
        <v>1546</v>
      </c>
      <c r="H210" t="s">
        <v>1550</v>
      </c>
      <c r="I210">
        <v>2025</v>
      </c>
      <c r="J210" t="s">
        <v>1554</v>
      </c>
      <c r="K210" t="s">
        <v>1556</v>
      </c>
      <c r="L210">
        <v>1277790</v>
      </c>
      <c r="M210">
        <v>1059786</v>
      </c>
      <c r="N210">
        <v>218004</v>
      </c>
      <c r="O210">
        <v>28</v>
      </c>
      <c r="P210" t="str">
        <f t="shared" si="7"/>
        <v>young</v>
      </c>
      <c r="Q210" t="s">
        <v>1558</v>
      </c>
      <c r="R210" t="s">
        <v>1563</v>
      </c>
      <c r="S210" t="s">
        <v>1567</v>
      </c>
      <c r="T210">
        <v>307304</v>
      </c>
      <c r="U210">
        <v>5</v>
      </c>
      <c r="V210" t="s">
        <v>1584</v>
      </c>
      <c r="W210" t="s">
        <v>1592</v>
      </c>
      <c r="X210">
        <v>17.059999999999999</v>
      </c>
    </row>
    <row r="211" spans="1:24" x14ac:dyDescent="0.25">
      <c r="A211" t="s">
        <v>231</v>
      </c>
      <c r="B211" s="4">
        <v>46147</v>
      </c>
      <c r="C211" s="4" t="str">
        <f t="shared" si="6"/>
        <v>May</v>
      </c>
      <c r="D211" t="s">
        <v>1522</v>
      </c>
      <c r="E211" t="s">
        <v>1526</v>
      </c>
      <c r="F211" t="s">
        <v>1528</v>
      </c>
      <c r="G211" t="s">
        <v>1538</v>
      </c>
      <c r="H211" t="s">
        <v>1550</v>
      </c>
      <c r="I211">
        <v>2026</v>
      </c>
      <c r="J211" t="s">
        <v>1554</v>
      </c>
      <c r="K211" t="s">
        <v>1556</v>
      </c>
      <c r="L211">
        <v>1134295</v>
      </c>
      <c r="M211">
        <v>1040440</v>
      </c>
      <c r="N211">
        <v>93855</v>
      </c>
      <c r="O211">
        <v>58</v>
      </c>
      <c r="P211" t="str">
        <f t="shared" si="7"/>
        <v>senior</v>
      </c>
      <c r="Q211" t="s">
        <v>1558</v>
      </c>
      <c r="R211" t="s">
        <v>1565</v>
      </c>
      <c r="S211" t="s">
        <v>1567</v>
      </c>
      <c r="T211">
        <v>1736763</v>
      </c>
      <c r="U211">
        <v>5</v>
      </c>
      <c r="V211" t="s">
        <v>1590</v>
      </c>
      <c r="W211" t="s">
        <v>1592</v>
      </c>
      <c r="X211">
        <v>8.27</v>
      </c>
    </row>
    <row r="212" spans="1:24" x14ac:dyDescent="0.25">
      <c r="A212" t="s">
        <v>232</v>
      </c>
      <c r="B212" s="4">
        <v>46227</v>
      </c>
      <c r="C212" s="4" t="str">
        <f t="shared" si="6"/>
        <v>Jul</v>
      </c>
      <c r="D212" t="s">
        <v>1522</v>
      </c>
      <c r="E212" t="s">
        <v>1527</v>
      </c>
      <c r="F212" t="s">
        <v>1535</v>
      </c>
      <c r="G212" t="s">
        <v>1545</v>
      </c>
      <c r="H212" t="s">
        <v>4</v>
      </c>
      <c r="I212">
        <v>2023</v>
      </c>
      <c r="J212" t="s">
        <v>1554</v>
      </c>
      <c r="K212" t="s">
        <v>1556</v>
      </c>
      <c r="L212">
        <v>1810131</v>
      </c>
      <c r="M212">
        <v>1597155</v>
      </c>
      <c r="N212">
        <v>212976</v>
      </c>
      <c r="O212">
        <v>31</v>
      </c>
      <c r="P212" t="str">
        <f t="shared" si="7"/>
        <v>adult</v>
      </c>
      <c r="Q212" t="s">
        <v>1558</v>
      </c>
      <c r="R212" t="s">
        <v>1566</v>
      </c>
      <c r="S212" t="s">
        <v>1569</v>
      </c>
      <c r="T212">
        <v>1718187</v>
      </c>
      <c r="U212">
        <v>2</v>
      </c>
      <c r="V212" t="s">
        <v>1587</v>
      </c>
      <c r="W212" t="s">
        <v>1594</v>
      </c>
      <c r="X212">
        <v>11.77</v>
      </c>
    </row>
    <row r="213" spans="1:24" x14ac:dyDescent="0.25">
      <c r="A213" t="s">
        <v>233</v>
      </c>
      <c r="B213" s="4">
        <v>46143</v>
      </c>
      <c r="C213" s="4" t="str">
        <f t="shared" si="6"/>
        <v>May</v>
      </c>
      <c r="D213" t="s">
        <v>1522</v>
      </c>
      <c r="E213" t="s">
        <v>1526</v>
      </c>
      <c r="F213" t="s">
        <v>1528</v>
      </c>
      <c r="G213" t="s">
        <v>1538</v>
      </c>
      <c r="H213" t="s">
        <v>1551</v>
      </c>
      <c r="I213">
        <v>2024</v>
      </c>
      <c r="J213" t="s">
        <v>1554</v>
      </c>
      <c r="K213" t="s">
        <v>1556</v>
      </c>
      <c r="L213">
        <v>810073</v>
      </c>
      <c r="M213">
        <v>734508</v>
      </c>
      <c r="N213">
        <v>75565</v>
      </c>
      <c r="O213">
        <v>50</v>
      </c>
      <c r="P213" t="str">
        <f t="shared" si="7"/>
        <v>adult</v>
      </c>
      <c r="Q213" t="s">
        <v>1559</v>
      </c>
      <c r="R213" t="s">
        <v>1563</v>
      </c>
      <c r="S213" t="s">
        <v>1567</v>
      </c>
      <c r="T213">
        <v>1149404</v>
      </c>
      <c r="U213">
        <v>4</v>
      </c>
      <c r="V213" t="s">
        <v>1590</v>
      </c>
      <c r="W213" t="s">
        <v>1592</v>
      </c>
      <c r="X213">
        <v>9.33</v>
      </c>
    </row>
    <row r="214" spans="1:24" x14ac:dyDescent="0.25">
      <c r="A214" t="s">
        <v>234</v>
      </c>
      <c r="B214" s="4">
        <v>45749</v>
      </c>
      <c r="C214" s="4" t="str">
        <f t="shared" si="6"/>
        <v>Apr</v>
      </c>
      <c r="D214" t="s">
        <v>1522</v>
      </c>
      <c r="E214" t="s">
        <v>1526</v>
      </c>
      <c r="F214" t="s">
        <v>1532</v>
      </c>
      <c r="G214" t="s">
        <v>1538</v>
      </c>
      <c r="H214" t="s">
        <v>4</v>
      </c>
      <c r="I214">
        <v>2025</v>
      </c>
      <c r="J214" t="s">
        <v>1554</v>
      </c>
      <c r="K214" t="s">
        <v>1557</v>
      </c>
      <c r="L214">
        <v>1791026</v>
      </c>
      <c r="M214">
        <v>1625573</v>
      </c>
      <c r="N214">
        <v>165453</v>
      </c>
      <c r="O214">
        <v>60</v>
      </c>
      <c r="P214" t="str">
        <f t="shared" si="7"/>
        <v>senior</v>
      </c>
      <c r="Q214" t="s">
        <v>1558</v>
      </c>
      <c r="R214" t="s">
        <v>1561</v>
      </c>
      <c r="S214" t="s">
        <v>1568</v>
      </c>
      <c r="T214">
        <v>1949395</v>
      </c>
      <c r="U214">
        <v>5</v>
      </c>
      <c r="V214" t="s">
        <v>1573</v>
      </c>
      <c r="W214" t="s">
        <v>1592</v>
      </c>
      <c r="X214">
        <v>9.24</v>
      </c>
    </row>
    <row r="215" spans="1:24" x14ac:dyDescent="0.25">
      <c r="A215" t="s">
        <v>235</v>
      </c>
      <c r="B215" s="4">
        <v>45761</v>
      </c>
      <c r="C215" s="4" t="str">
        <f t="shared" si="6"/>
        <v>Apr</v>
      </c>
      <c r="D215" t="s">
        <v>1522</v>
      </c>
      <c r="E215" t="s">
        <v>1526</v>
      </c>
      <c r="F215" t="s">
        <v>1528</v>
      </c>
      <c r="G215" t="s">
        <v>1539</v>
      </c>
      <c r="H215" t="s">
        <v>1551</v>
      </c>
      <c r="I215">
        <v>2023</v>
      </c>
      <c r="J215" t="s">
        <v>1554</v>
      </c>
      <c r="K215" t="s">
        <v>1557</v>
      </c>
      <c r="L215">
        <v>752708</v>
      </c>
      <c r="M215">
        <v>692665</v>
      </c>
      <c r="N215">
        <v>60043</v>
      </c>
      <c r="O215">
        <v>55</v>
      </c>
      <c r="P215" t="str">
        <f t="shared" si="7"/>
        <v>senior</v>
      </c>
      <c r="Q215" t="s">
        <v>1558</v>
      </c>
      <c r="R215" t="s">
        <v>1563</v>
      </c>
      <c r="S215" t="s">
        <v>1568</v>
      </c>
      <c r="T215">
        <v>1607562</v>
      </c>
      <c r="U215">
        <v>3</v>
      </c>
      <c r="V215" t="s">
        <v>1573</v>
      </c>
      <c r="W215" t="s">
        <v>1592</v>
      </c>
      <c r="X215">
        <v>7.98</v>
      </c>
    </row>
    <row r="216" spans="1:24" x14ac:dyDescent="0.25">
      <c r="A216" t="s">
        <v>236</v>
      </c>
      <c r="B216" s="4">
        <v>46075</v>
      </c>
      <c r="C216" s="4" t="str">
        <f t="shared" si="6"/>
        <v>Feb</v>
      </c>
      <c r="D216" t="s">
        <v>1522</v>
      </c>
      <c r="E216" t="s">
        <v>1525</v>
      </c>
      <c r="F216" t="s">
        <v>1529</v>
      </c>
      <c r="G216" t="s">
        <v>1545</v>
      </c>
      <c r="H216" t="s">
        <v>4</v>
      </c>
      <c r="I216">
        <v>2025</v>
      </c>
      <c r="J216" t="s">
        <v>1554</v>
      </c>
      <c r="K216" t="s">
        <v>1556</v>
      </c>
      <c r="L216">
        <v>1515127</v>
      </c>
      <c r="M216">
        <v>1290179</v>
      </c>
      <c r="N216">
        <v>224948</v>
      </c>
      <c r="O216">
        <v>35</v>
      </c>
      <c r="P216" t="str">
        <f t="shared" si="7"/>
        <v>adult</v>
      </c>
      <c r="Q216" t="s">
        <v>1558</v>
      </c>
      <c r="R216" t="s">
        <v>1563</v>
      </c>
      <c r="S216" t="s">
        <v>1567</v>
      </c>
      <c r="T216">
        <v>1663192</v>
      </c>
      <c r="U216">
        <v>5</v>
      </c>
      <c r="V216" t="s">
        <v>1589</v>
      </c>
      <c r="W216" t="s">
        <v>1591</v>
      </c>
      <c r="X216">
        <v>14.85</v>
      </c>
    </row>
    <row r="217" spans="1:24" x14ac:dyDescent="0.25">
      <c r="A217" t="s">
        <v>237</v>
      </c>
      <c r="B217" s="4">
        <v>45785</v>
      </c>
      <c r="C217" s="4" t="str">
        <f t="shared" si="6"/>
        <v>May</v>
      </c>
      <c r="D217" t="s">
        <v>1522</v>
      </c>
      <c r="E217" t="s">
        <v>1526</v>
      </c>
      <c r="F217" t="s">
        <v>1535</v>
      </c>
      <c r="G217" t="s">
        <v>1548</v>
      </c>
      <c r="H217" t="s">
        <v>4</v>
      </c>
      <c r="I217">
        <v>2026</v>
      </c>
      <c r="J217" t="s">
        <v>1554</v>
      </c>
      <c r="K217" t="s">
        <v>1557</v>
      </c>
      <c r="L217">
        <v>1704055</v>
      </c>
      <c r="M217">
        <v>1383699</v>
      </c>
      <c r="N217">
        <v>320356</v>
      </c>
      <c r="O217">
        <v>26</v>
      </c>
      <c r="P217" t="str">
        <f t="shared" si="7"/>
        <v>young</v>
      </c>
      <c r="Q217" t="s">
        <v>1558</v>
      </c>
      <c r="R217" t="s">
        <v>1563</v>
      </c>
      <c r="S217" t="s">
        <v>1569</v>
      </c>
      <c r="T217">
        <v>1216852</v>
      </c>
      <c r="U217">
        <v>4</v>
      </c>
      <c r="V217" t="s">
        <v>1572</v>
      </c>
      <c r="W217" t="s">
        <v>1592</v>
      </c>
      <c r="X217">
        <v>18.8</v>
      </c>
    </row>
    <row r="218" spans="1:24" x14ac:dyDescent="0.25">
      <c r="A218" t="s">
        <v>238</v>
      </c>
      <c r="B218" s="4">
        <v>46160</v>
      </c>
      <c r="C218" s="4" t="str">
        <f t="shared" si="6"/>
        <v>May</v>
      </c>
      <c r="D218" t="s">
        <v>1522</v>
      </c>
      <c r="E218" t="s">
        <v>1524</v>
      </c>
      <c r="F218" t="s">
        <v>1531</v>
      </c>
      <c r="G218" t="s">
        <v>1542</v>
      </c>
      <c r="H218" t="s">
        <v>4</v>
      </c>
      <c r="I218">
        <v>2025</v>
      </c>
      <c r="J218" t="s">
        <v>1554</v>
      </c>
      <c r="K218" t="s">
        <v>1556</v>
      </c>
      <c r="L218">
        <v>1262464</v>
      </c>
      <c r="M218">
        <v>1143520</v>
      </c>
      <c r="N218">
        <v>118944</v>
      </c>
      <c r="O218">
        <v>46</v>
      </c>
      <c r="P218" t="str">
        <f t="shared" si="7"/>
        <v>adult</v>
      </c>
      <c r="Q218" t="s">
        <v>1559</v>
      </c>
      <c r="R218" t="s">
        <v>1565</v>
      </c>
      <c r="S218" t="s">
        <v>1568</v>
      </c>
      <c r="T218">
        <v>1510887</v>
      </c>
      <c r="U218">
        <v>1</v>
      </c>
      <c r="V218" t="s">
        <v>1590</v>
      </c>
      <c r="W218" t="s">
        <v>1592</v>
      </c>
      <c r="X218">
        <v>9.42</v>
      </c>
    </row>
    <row r="219" spans="1:24" x14ac:dyDescent="0.25">
      <c r="A219" t="s">
        <v>239</v>
      </c>
      <c r="B219" s="4">
        <v>46184</v>
      </c>
      <c r="C219" s="4" t="str">
        <f t="shared" si="6"/>
        <v>Jun</v>
      </c>
      <c r="D219" t="s">
        <v>1522</v>
      </c>
      <c r="E219" t="s">
        <v>1527</v>
      </c>
      <c r="F219" t="s">
        <v>1535</v>
      </c>
      <c r="G219" t="s">
        <v>1546</v>
      </c>
      <c r="H219" t="s">
        <v>1552</v>
      </c>
      <c r="I219">
        <v>2025</v>
      </c>
      <c r="J219" t="s">
        <v>1555</v>
      </c>
      <c r="K219" t="s">
        <v>1556</v>
      </c>
      <c r="L219">
        <v>1917302</v>
      </c>
      <c r="M219">
        <v>1549791</v>
      </c>
      <c r="N219">
        <v>367511</v>
      </c>
      <c r="O219">
        <v>51</v>
      </c>
      <c r="P219" t="str">
        <f t="shared" si="7"/>
        <v>senior</v>
      </c>
      <c r="Q219" t="s">
        <v>1559</v>
      </c>
      <c r="R219" t="s">
        <v>1565</v>
      </c>
      <c r="S219" t="s">
        <v>1567</v>
      </c>
      <c r="T219">
        <v>1609242</v>
      </c>
      <c r="U219">
        <v>3</v>
      </c>
      <c r="V219" t="s">
        <v>1582</v>
      </c>
      <c r="W219" t="s">
        <v>1592</v>
      </c>
      <c r="X219">
        <v>19.170000000000002</v>
      </c>
    </row>
    <row r="220" spans="1:24" x14ac:dyDescent="0.25">
      <c r="A220" t="s">
        <v>240</v>
      </c>
      <c r="B220" s="4">
        <v>45919</v>
      </c>
      <c r="C220" s="4" t="str">
        <f t="shared" si="6"/>
        <v>Sep</v>
      </c>
      <c r="D220" t="s">
        <v>1522</v>
      </c>
      <c r="E220" t="s">
        <v>1524</v>
      </c>
      <c r="F220" t="s">
        <v>1534</v>
      </c>
      <c r="G220" t="s">
        <v>1538</v>
      </c>
      <c r="H220" t="s">
        <v>1551</v>
      </c>
      <c r="I220">
        <v>2023</v>
      </c>
      <c r="J220" t="s">
        <v>1554</v>
      </c>
      <c r="K220" t="s">
        <v>1556</v>
      </c>
      <c r="L220">
        <v>916548</v>
      </c>
      <c r="M220">
        <v>883976</v>
      </c>
      <c r="N220">
        <v>32572</v>
      </c>
      <c r="O220">
        <v>44</v>
      </c>
      <c r="P220" t="str">
        <f t="shared" si="7"/>
        <v>adult</v>
      </c>
      <c r="Q220" t="s">
        <v>1559</v>
      </c>
      <c r="R220" t="s">
        <v>1565</v>
      </c>
      <c r="S220" t="s">
        <v>1569</v>
      </c>
      <c r="T220">
        <v>815020</v>
      </c>
      <c r="U220">
        <v>5</v>
      </c>
      <c r="V220" t="s">
        <v>1577</v>
      </c>
      <c r="W220" t="s">
        <v>1594</v>
      </c>
      <c r="X220">
        <v>3.55</v>
      </c>
    </row>
    <row r="221" spans="1:24" x14ac:dyDescent="0.25">
      <c r="A221" t="s">
        <v>241</v>
      </c>
      <c r="B221" s="4">
        <v>45733</v>
      </c>
      <c r="C221" s="4" t="str">
        <f t="shared" si="6"/>
        <v>Mar</v>
      </c>
      <c r="D221" t="s">
        <v>1522</v>
      </c>
      <c r="E221" t="s">
        <v>1524</v>
      </c>
      <c r="F221" t="s">
        <v>1537</v>
      </c>
      <c r="G221" t="s">
        <v>1549</v>
      </c>
      <c r="H221" t="s">
        <v>4</v>
      </c>
      <c r="I221">
        <v>2023</v>
      </c>
      <c r="J221" t="s">
        <v>1554</v>
      </c>
      <c r="K221" t="s">
        <v>1556</v>
      </c>
      <c r="L221">
        <v>1383398</v>
      </c>
      <c r="M221">
        <v>1244444</v>
      </c>
      <c r="N221">
        <v>138954</v>
      </c>
      <c r="O221">
        <v>37</v>
      </c>
      <c r="P221" t="str">
        <f t="shared" si="7"/>
        <v>adult</v>
      </c>
      <c r="Q221" t="s">
        <v>1559</v>
      </c>
      <c r="R221" t="s">
        <v>1561</v>
      </c>
      <c r="S221" t="s">
        <v>1570</v>
      </c>
      <c r="T221">
        <v>1233752</v>
      </c>
      <c r="U221">
        <v>5</v>
      </c>
      <c r="V221" t="s">
        <v>1588</v>
      </c>
      <c r="W221" t="s">
        <v>1591</v>
      </c>
      <c r="X221">
        <v>10.039999999999999</v>
      </c>
    </row>
    <row r="222" spans="1:24" x14ac:dyDescent="0.25">
      <c r="A222" t="s">
        <v>242</v>
      </c>
      <c r="B222" s="4">
        <v>45902</v>
      </c>
      <c r="C222" s="4" t="str">
        <f t="shared" si="6"/>
        <v>Sep</v>
      </c>
      <c r="D222" t="s">
        <v>1522</v>
      </c>
      <c r="E222" t="s">
        <v>1526</v>
      </c>
      <c r="F222" t="s">
        <v>1529</v>
      </c>
      <c r="G222" t="s">
        <v>1545</v>
      </c>
      <c r="H222" t="s">
        <v>1551</v>
      </c>
      <c r="I222">
        <v>2026</v>
      </c>
      <c r="J222" t="s">
        <v>1554</v>
      </c>
      <c r="K222" t="s">
        <v>1556</v>
      </c>
      <c r="L222">
        <v>832743</v>
      </c>
      <c r="M222">
        <v>755683</v>
      </c>
      <c r="N222">
        <v>77060</v>
      </c>
      <c r="O222">
        <v>61</v>
      </c>
      <c r="P222" t="str">
        <f t="shared" si="7"/>
        <v>senior</v>
      </c>
      <c r="Q222" t="s">
        <v>1559</v>
      </c>
      <c r="R222" t="s">
        <v>1565</v>
      </c>
      <c r="S222" t="s">
        <v>1567</v>
      </c>
      <c r="T222">
        <v>1136832</v>
      </c>
      <c r="U222">
        <v>4</v>
      </c>
      <c r="V222" t="s">
        <v>1577</v>
      </c>
      <c r="W222" t="s">
        <v>1594</v>
      </c>
      <c r="X222">
        <v>9.25</v>
      </c>
    </row>
    <row r="223" spans="1:24" x14ac:dyDescent="0.25">
      <c r="A223" t="s">
        <v>243</v>
      </c>
      <c r="B223" s="4">
        <v>45749</v>
      </c>
      <c r="C223" s="4" t="str">
        <f t="shared" si="6"/>
        <v>Apr</v>
      </c>
      <c r="D223" t="s">
        <v>1522</v>
      </c>
      <c r="E223" t="s">
        <v>1526</v>
      </c>
      <c r="F223" t="s">
        <v>1530</v>
      </c>
      <c r="G223" t="s">
        <v>1549</v>
      </c>
      <c r="H223" t="s">
        <v>1551</v>
      </c>
      <c r="I223">
        <v>2025</v>
      </c>
      <c r="J223" t="s">
        <v>1554</v>
      </c>
      <c r="K223" t="s">
        <v>1557</v>
      </c>
      <c r="L223">
        <v>973889</v>
      </c>
      <c r="M223">
        <v>916365</v>
      </c>
      <c r="N223">
        <v>57524</v>
      </c>
      <c r="O223">
        <v>41</v>
      </c>
      <c r="P223" t="str">
        <f t="shared" si="7"/>
        <v>adult</v>
      </c>
      <c r="Q223" t="s">
        <v>1558</v>
      </c>
      <c r="R223" t="s">
        <v>1564</v>
      </c>
      <c r="S223" t="s">
        <v>1567</v>
      </c>
      <c r="T223">
        <v>626865</v>
      </c>
      <c r="U223">
        <v>3</v>
      </c>
      <c r="V223" t="s">
        <v>1573</v>
      </c>
      <c r="W223" t="s">
        <v>1592</v>
      </c>
      <c r="X223">
        <v>5.91</v>
      </c>
    </row>
    <row r="224" spans="1:24" x14ac:dyDescent="0.25">
      <c r="A224" t="s">
        <v>244</v>
      </c>
      <c r="B224" s="4">
        <v>46008</v>
      </c>
      <c r="C224" s="4" t="str">
        <f t="shared" si="6"/>
        <v>Dec</v>
      </c>
      <c r="D224" t="s">
        <v>1522</v>
      </c>
      <c r="E224" t="s">
        <v>1526</v>
      </c>
      <c r="F224" t="s">
        <v>1530</v>
      </c>
      <c r="G224" t="s">
        <v>1549</v>
      </c>
      <c r="H224" t="s">
        <v>1550</v>
      </c>
      <c r="I224">
        <v>2025</v>
      </c>
      <c r="J224" t="s">
        <v>1554</v>
      </c>
      <c r="K224" t="s">
        <v>1556</v>
      </c>
      <c r="L224">
        <v>1173052</v>
      </c>
      <c r="M224">
        <v>1016341</v>
      </c>
      <c r="N224">
        <v>156711</v>
      </c>
      <c r="O224">
        <v>59</v>
      </c>
      <c r="P224" t="str">
        <f t="shared" si="7"/>
        <v>senior</v>
      </c>
      <c r="Q224" t="s">
        <v>1558</v>
      </c>
      <c r="R224" t="s">
        <v>1563</v>
      </c>
      <c r="S224" t="s">
        <v>1570</v>
      </c>
      <c r="T224">
        <v>1254127</v>
      </c>
      <c r="U224">
        <v>2</v>
      </c>
      <c r="V224" t="s">
        <v>1575</v>
      </c>
      <c r="W224" t="s">
        <v>1593</v>
      </c>
      <c r="X224">
        <v>13.36</v>
      </c>
    </row>
    <row r="225" spans="1:24" x14ac:dyDescent="0.25">
      <c r="A225" t="s">
        <v>245</v>
      </c>
      <c r="B225" s="4">
        <v>45931</v>
      </c>
      <c r="C225" s="4" t="str">
        <f t="shared" si="6"/>
        <v>Oct</v>
      </c>
      <c r="D225" t="s">
        <v>1522</v>
      </c>
      <c r="E225" t="s">
        <v>1523</v>
      </c>
      <c r="F225" t="s">
        <v>1535</v>
      </c>
      <c r="G225" t="s">
        <v>1547</v>
      </c>
      <c r="H225" t="s">
        <v>1551</v>
      </c>
      <c r="I225">
        <v>2024</v>
      </c>
      <c r="J225" t="s">
        <v>1554</v>
      </c>
      <c r="K225" t="s">
        <v>1556</v>
      </c>
      <c r="L225">
        <v>866936</v>
      </c>
      <c r="M225">
        <v>764997</v>
      </c>
      <c r="N225">
        <v>101939</v>
      </c>
      <c r="O225">
        <v>29</v>
      </c>
      <c r="P225" t="str">
        <f t="shared" si="7"/>
        <v>young</v>
      </c>
      <c r="Q225" t="s">
        <v>1559</v>
      </c>
      <c r="R225" t="s">
        <v>1562</v>
      </c>
      <c r="S225" t="s">
        <v>1569</v>
      </c>
      <c r="T225">
        <v>1990674</v>
      </c>
      <c r="U225">
        <v>2</v>
      </c>
      <c r="V225" t="s">
        <v>1574</v>
      </c>
      <c r="W225" t="s">
        <v>1593</v>
      </c>
      <c r="X225">
        <v>11.76</v>
      </c>
    </row>
    <row r="226" spans="1:24" x14ac:dyDescent="0.25">
      <c r="A226" t="s">
        <v>246</v>
      </c>
      <c r="B226" s="4">
        <v>45811</v>
      </c>
      <c r="C226" s="4" t="str">
        <f t="shared" si="6"/>
        <v>Jun</v>
      </c>
      <c r="D226" t="s">
        <v>1522</v>
      </c>
      <c r="E226" t="s">
        <v>1524</v>
      </c>
      <c r="F226" t="s">
        <v>1528</v>
      </c>
      <c r="G226" t="s">
        <v>1545</v>
      </c>
      <c r="H226" t="s">
        <v>1551</v>
      </c>
      <c r="I226">
        <v>2022</v>
      </c>
      <c r="J226" t="s">
        <v>1554</v>
      </c>
      <c r="K226" t="s">
        <v>1557</v>
      </c>
      <c r="L226">
        <v>775007</v>
      </c>
      <c r="M226">
        <v>658199</v>
      </c>
      <c r="N226">
        <v>116808</v>
      </c>
      <c r="O226">
        <v>37</v>
      </c>
      <c r="P226" t="str">
        <f t="shared" si="7"/>
        <v>adult</v>
      </c>
      <c r="Q226" t="s">
        <v>1558</v>
      </c>
      <c r="R226" t="s">
        <v>1566</v>
      </c>
      <c r="S226" t="s">
        <v>1567</v>
      </c>
      <c r="T226">
        <v>704328</v>
      </c>
      <c r="U226">
        <v>3</v>
      </c>
      <c r="V226" t="s">
        <v>1584</v>
      </c>
      <c r="W226" t="s">
        <v>1592</v>
      </c>
      <c r="X226">
        <v>15.07</v>
      </c>
    </row>
    <row r="227" spans="1:24" x14ac:dyDescent="0.25">
      <c r="A227" t="s">
        <v>247</v>
      </c>
      <c r="B227" s="4">
        <v>45932</v>
      </c>
      <c r="C227" s="4" t="str">
        <f t="shared" si="6"/>
        <v>Oct</v>
      </c>
      <c r="D227" t="s">
        <v>1522</v>
      </c>
      <c r="E227" t="s">
        <v>1523</v>
      </c>
      <c r="F227" t="s">
        <v>1536</v>
      </c>
      <c r="G227" t="s">
        <v>1541</v>
      </c>
      <c r="H227" t="s">
        <v>4</v>
      </c>
      <c r="I227">
        <v>2025</v>
      </c>
      <c r="J227" t="s">
        <v>1554</v>
      </c>
      <c r="K227" t="s">
        <v>1557</v>
      </c>
      <c r="L227">
        <v>1536022</v>
      </c>
      <c r="M227">
        <v>1299665</v>
      </c>
      <c r="N227">
        <v>236357</v>
      </c>
      <c r="O227">
        <v>33</v>
      </c>
      <c r="P227" t="str">
        <f t="shared" si="7"/>
        <v>adult</v>
      </c>
      <c r="Q227" t="s">
        <v>1558</v>
      </c>
      <c r="R227" t="s">
        <v>1566</v>
      </c>
      <c r="S227" t="s">
        <v>1567</v>
      </c>
      <c r="T227">
        <v>289213</v>
      </c>
      <c r="U227">
        <v>5</v>
      </c>
      <c r="V227" t="s">
        <v>1574</v>
      </c>
      <c r="W227" t="s">
        <v>1593</v>
      </c>
      <c r="X227">
        <v>15.39</v>
      </c>
    </row>
    <row r="228" spans="1:24" x14ac:dyDescent="0.25">
      <c r="A228" t="s">
        <v>248</v>
      </c>
      <c r="B228" s="4">
        <v>45954</v>
      </c>
      <c r="C228" s="4" t="str">
        <f t="shared" si="6"/>
        <v>Oct</v>
      </c>
      <c r="D228" t="s">
        <v>1522</v>
      </c>
      <c r="E228" t="s">
        <v>1526</v>
      </c>
      <c r="F228" t="s">
        <v>1533</v>
      </c>
      <c r="G228" t="s">
        <v>1541</v>
      </c>
      <c r="H228" t="s">
        <v>1551</v>
      </c>
      <c r="I228">
        <v>2025</v>
      </c>
      <c r="J228" t="s">
        <v>1554</v>
      </c>
      <c r="K228" t="s">
        <v>1556</v>
      </c>
      <c r="L228">
        <v>1010168</v>
      </c>
      <c r="M228">
        <v>900919</v>
      </c>
      <c r="N228">
        <v>109249</v>
      </c>
      <c r="O228">
        <v>65</v>
      </c>
      <c r="P228" t="str">
        <f t="shared" si="7"/>
        <v>senior</v>
      </c>
      <c r="Q228" t="s">
        <v>1559</v>
      </c>
      <c r="R228" t="s">
        <v>1564</v>
      </c>
      <c r="S228" t="s">
        <v>1568</v>
      </c>
      <c r="T228">
        <v>427381</v>
      </c>
      <c r="U228">
        <v>1</v>
      </c>
      <c r="V228" t="s">
        <v>1574</v>
      </c>
      <c r="W228" t="s">
        <v>1593</v>
      </c>
      <c r="X228">
        <v>10.81</v>
      </c>
    </row>
    <row r="229" spans="1:24" x14ac:dyDescent="0.25">
      <c r="A229" t="s">
        <v>249</v>
      </c>
      <c r="B229" s="4">
        <v>45696</v>
      </c>
      <c r="C229" s="4" t="str">
        <f t="shared" si="6"/>
        <v>Feb</v>
      </c>
      <c r="D229" t="s">
        <v>1522</v>
      </c>
      <c r="E229" t="s">
        <v>1527</v>
      </c>
      <c r="F229" t="s">
        <v>1536</v>
      </c>
      <c r="G229" t="s">
        <v>1546</v>
      </c>
      <c r="H229" t="s">
        <v>1552</v>
      </c>
      <c r="I229">
        <v>2022</v>
      </c>
      <c r="J229" t="s">
        <v>1555</v>
      </c>
      <c r="K229" t="s">
        <v>1556</v>
      </c>
      <c r="L229">
        <v>1946412</v>
      </c>
      <c r="M229">
        <v>1663347</v>
      </c>
      <c r="N229">
        <v>283065</v>
      </c>
      <c r="O229">
        <v>46</v>
      </c>
      <c r="P229" t="str">
        <f t="shared" si="7"/>
        <v>adult</v>
      </c>
      <c r="Q229" t="s">
        <v>1558</v>
      </c>
      <c r="R229" t="s">
        <v>1566</v>
      </c>
      <c r="S229" t="s">
        <v>1569</v>
      </c>
      <c r="T229">
        <v>1293943</v>
      </c>
      <c r="U229">
        <v>1</v>
      </c>
      <c r="V229" t="s">
        <v>1578</v>
      </c>
      <c r="W229" t="s">
        <v>1591</v>
      </c>
      <c r="X229">
        <v>14.54</v>
      </c>
    </row>
    <row r="230" spans="1:24" x14ac:dyDescent="0.25">
      <c r="A230" t="s">
        <v>250</v>
      </c>
      <c r="B230" s="4">
        <v>45887</v>
      </c>
      <c r="C230" s="4" t="str">
        <f t="shared" si="6"/>
        <v>Aug</v>
      </c>
      <c r="D230" t="s">
        <v>1522</v>
      </c>
      <c r="E230" t="s">
        <v>1523</v>
      </c>
      <c r="F230" t="s">
        <v>1531</v>
      </c>
      <c r="G230" t="s">
        <v>1549</v>
      </c>
      <c r="H230" t="s">
        <v>1551</v>
      </c>
      <c r="I230">
        <v>2024</v>
      </c>
      <c r="J230" t="s">
        <v>1554</v>
      </c>
      <c r="K230" t="s">
        <v>1556</v>
      </c>
      <c r="L230">
        <v>850914</v>
      </c>
      <c r="M230">
        <v>776290</v>
      </c>
      <c r="N230">
        <v>74624</v>
      </c>
      <c r="O230">
        <v>50</v>
      </c>
      <c r="P230" t="str">
        <f t="shared" si="7"/>
        <v>adult</v>
      </c>
      <c r="Q230" t="s">
        <v>1558</v>
      </c>
      <c r="R230" t="s">
        <v>1564</v>
      </c>
      <c r="S230" t="s">
        <v>1567</v>
      </c>
      <c r="T230">
        <v>638341</v>
      </c>
      <c r="U230">
        <v>2</v>
      </c>
      <c r="V230" t="s">
        <v>1585</v>
      </c>
      <c r="W230" t="s">
        <v>1594</v>
      </c>
      <c r="X230">
        <v>8.77</v>
      </c>
    </row>
    <row r="231" spans="1:24" x14ac:dyDescent="0.25">
      <c r="A231" t="s">
        <v>251</v>
      </c>
      <c r="B231" s="4">
        <v>46115</v>
      </c>
      <c r="C231" s="4" t="str">
        <f t="shared" si="6"/>
        <v>Apr</v>
      </c>
      <c r="D231" t="s">
        <v>1522</v>
      </c>
      <c r="E231" t="s">
        <v>1526</v>
      </c>
      <c r="F231" t="s">
        <v>1533</v>
      </c>
      <c r="G231" t="s">
        <v>1546</v>
      </c>
      <c r="H231" t="s">
        <v>1550</v>
      </c>
      <c r="I231">
        <v>2025</v>
      </c>
      <c r="J231" t="s">
        <v>1554</v>
      </c>
      <c r="K231" t="s">
        <v>1556</v>
      </c>
      <c r="L231">
        <v>1273557</v>
      </c>
      <c r="M231">
        <v>1203313</v>
      </c>
      <c r="N231">
        <v>70244</v>
      </c>
      <c r="O231">
        <v>28</v>
      </c>
      <c r="P231" t="str">
        <f t="shared" si="7"/>
        <v>young</v>
      </c>
      <c r="Q231" t="s">
        <v>1559</v>
      </c>
      <c r="R231" t="s">
        <v>1561</v>
      </c>
      <c r="S231" t="s">
        <v>1567</v>
      </c>
      <c r="T231">
        <v>750232</v>
      </c>
      <c r="U231">
        <v>1</v>
      </c>
      <c r="V231" t="s">
        <v>1580</v>
      </c>
      <c r="W231" t="s">
        <v>1592</v>
      </c>
      <c r="X231">
        <v>5.52</v>
      </c>
    </row>
    <row r="232" spans="1:24" x14ac:dyDescent="0.25">
      <c r="A232" t="s">
        <v>252</v>
      </c>
      <c r="B232" s="4">
        <v>45957</v>
      </c>
      <c r="C232" s="4" t="str">
        <f t="shared" si="6"/>
        <v>Oct</v>
      </c>
      <c r="D232" t="s">
        <v>1522</v>
      </c>
      <c r="E232" t="s">
        <v>1527</v>
      </c>
      <c r="F232" t="s">
        <v>1536</v>
      </c>
      <c r="G232" t="s">
        <v>1543</v>
      </c>
      <c r="H232" t="s">
        <v>4</v>
      </c>
      <c r="I232">
        <v>2023</v>
      </c>
      <c r="J232" t="s">
        <v>1554</v>
      </c>
      <c r="K232" t="s">
        <v>1556</v>
      </c>
      <c r="L232">
        <v>1478513</v>
      </c>
      <c r="M232">
        <v>1360309</v>
      </c>
      <c r="N232">
        <v>118204</v>
      </c>
      <c r="O232">
        <v>25</v>
      </c>
      <c r="P232" t="str">
        <f t="shared" si="7"/>
        <v>young</v>
      </c>
      <c r="Q232" t="s">
        <v>1559</v>
      </c>
      <c r="R232" t="s">
        <v>1564</v>
      </c>
      <c r="S232" t="s">
        <v>1567</v>
      </c>
      <c r="T232">
        <v>2169528</v>
      </c>
      <c r="U232">
        <v>3</v>
      </c>
      <c r="V232" t="s">
        <v>1574</v>
      </c>
      <c r="W232" t="s">
        <v>1593</v>
      </c>
      <c r="X232">
        <v>7.99</v>
      </c>
    </row>
    <row r="233" spans="1:24" x14ac:dyDescent="0.25">
      <c r="A233" t="s">
        <v>253</v>
      </c>
      <c r="B233" s="4">
        <v>45741</v>
      </c>
      <c r="C233" s="4" t="str">
        <f t="shared" si="6"/>
        <v>Mar</v>
      </c>
      <c r="D233" t="s">
        <v>1522</v>
      </c>
      <c r="E233" t="s">
        <v>1525</v>
      </c>
      <c r="F233" t="s">
        <v>1530</v>
      </c>
      <c r="G233" t="s">
        <v>1540</v>
      </c>
      <c r="H233" t="s">
        <v>4</v>
      </c>
      <c r="I233">
        <v>2024</v>
      </c>
      <c r="J233" t="s">
        <v>1554</v>
      </c>
      <c r="K233" t="s">
        <v>1557</v>
      </c>
      <c r="L233">
        <v>1463839</v>
      </c>
      <c r="M233">
        <v>1340442</v>
      </c>
      <c r="N233">
        <v>123397</v>
      </c>
      <c r="O233">
        <v>31</v>
      </c>
      <c r="P233" t="str">
        <f t="shared" si="7"/>
        <v>adult</v>
      </c>
      <c r="Q233" t="s">
        <v>1559</v>
      </c>
      <c r="R233" t="s">
        <v>1565</v>
      </c>
      <c r="S233" t="s">
        <v>1570</v>
      </c>
      <c r="T233">
        <v>543612</v>
      </c>
      <c r="U233">
        <v>5</v>
      </c>
      <c r="V233" t="s">
        <v>1588</v>
      </c>
      <c r="W233" t="s">
        <v>1591</v>
      </c>
      <c r="X233">
        <v>8.43</v>
      </c>
    </row>
    <row r="234" spans="1:24" x14ac:dyDescent="0.25">
      <c r="A234" t="s">
        <v>254</v>
      </c>
      <c r="B234" s="4">
        <v>45915</v>
      </c>
      <c r="C234" s="4" t="str">
        <f t="shared" si="6"/>
        <v>Sep</v>
      </c>
      <c r="D234" t="s">
        <v>1522</v>
      </c>
      <c r="E234" t="s">
        <v>1523</v>
      </c>
      <c r="F234" t="s">
        <v>1536</v>
      </c>
      <c r="G234" t="s">
        <v>1544</v>
      </c>
      <c r="H234" t="s">
        <v>1550</v>
      </c>
      <c r="I234">
        <v>2023</v>
      </c>
      <c r="J234" t="s">
        <v>1554</v>
      </c>
      <c r="K234" t="s">
        <v>1557</v>
      </c>
      <c r="L234">
        <v>1618185</v>
      </c>
      <c r="M234">
        <v>1531733</v>
      </c>
      <c r="N234">
        <v>86452</v>
      </c>
      <c r="O234">
        <v>56</v>
      </c>
      <c r="P234" t="str">
        <f t="shared" si="7"/>
        <v>senior</v>
      </c>
      <c r="Q234" t="s">
        <v>1558</v>
      </c>
      <c r="R234" t="s">
        <v>1566</v>
      </c>
      <c r="S234" t="s">
        <v>1568</v>
      </c>
      <c r="T234">
        <v>1572617</v>
      </c>
      <c r="U234">
        <v>5</v>
      </c>
      <c r="V234" t="s">
        <v>1577</v>
      </c>
      <c r="W234" t="s">
        <v>1594</v>
      </c>
      <c r="X234">
        <v>5.34</v>
      </c>
    </row>
    <row r="235" spans="1:24" x14ac:dyDescent="0.25">
      <c r="A235" t="s">
        <v>255</v>
      </c>
      <c r="B235" s="4">
        <v>45988</v>
      </c>
      <c r="C235" s="4" t="str">
        <f t="shared" si="6"/>
        <v>Nov</v>
      </c>
      <c r="D235" t="s">
        <v>1522</v>
      </c>
      <c r="E235" t="s">
        <v>1524</v>
      </c>
      <c r="F235" t="s">
        <v>1537</v>
      </c>
      <c r="G235" t="s">
        <v>1545</v>
      </c>
      <c r="H235" t="s">
        <v>1551</v>
      </c>
      <c r="I235">
        <v>2025</v>
      </c>
      <c r="J235" t="s">
        <v>1554</v>
      </c>
      <c r="K235" t="s">
        <v>1557</v>
      </c>
      <c r="L235">
        <v>979416</v>
      </c>
      <c r="M235">
        <v>868077</v>
      </c>
      <c r="N235">
        <v>111339</v>
      </c>
      <c r="O235">
        <v>31</v>
      </c>
      <c r="P235" t="str">
        <f t="shared" si="7"/>
        <v>adult</v>
      </c>
      <c r="Q235" t="s">
        <v>1559</v>
      </c>
      <c r="R235" t="s">
        <v>1562</v>
      </c>
      <c r="S235" t="s">
        <v>1570</v>
      </c>
      <c r="T235">
        <v>2042067</v>
      </c>
      <c r="U235">
        <v>3</v>
      </c>
      <c r="V235" t="s">
        <v>1583</v>
      </c>
      <c r="W235" t="s">
        <v>1593</v>
      </c>
      <c r="X235">
        <v>11.37</v>
      </c>
    </row>
    <row r="236" spans="1:24" x14ac:dyDescent="0.25">
      <c r="A236" t="s">
        <v>256</v>
      </c>
      <c r="B236" s="4">
        <v>46064</v>
      </c>
      <c r="C236" s="4" t="str">
        <f t="shared" si="6"/>
        <v>Feb</v>
      </c>
      <c r="D236" t="s">
        <v>1522</v>
      </c>
      <c r="E236" t="s">
        <v>1527</v>
      </c>
      <c r="F236" t="s">
        <v>1537</v>
      </c>
      <c r="G236" t="s">
        <v>1542</v>
      </c>
      <c r="H236" t="s">
        <v>1551</v>
      </c>
      <c r="I236">
        <v>2024</v>
      </c>
      <c r="J236" t="s">
        <v>1554</v>
      </c>
      <c r="K236" t="s">
        <v>1557</v>
      </c>
      <c r="L236">
        <v>986313</v>
      </c>
      <c r="M236">
        <v>866071</v>
      </c>
      <c r="N236">
        <v>120242</v>
      </c>
      <c r="O236">
        <v>50</v>
      </c>
      <c r="P236" t="str">
        <f t="shared" si="7"/>
        <v>adult</v>
      </c>
      <c r="Q236" t="s">
        <v>1559</v>
      </c>
      <c r="R236" t="s">
        <v>1565</v>
      </c>
      <c r="S236" t="s">
        <v>1568</v>
      </c>
      <c r="T236">
        <v>1720503</v>
      </c>
      <c r="U236">
        <v>1</v>
      </c>
      <c r="V236" t="s">
        <v>1589</v>
      </c>
      <c r="W236" t="s">
        <v>1591</v>
      </c>
      <c r="X236">
        <v>12.19</v>
      </c>
    </row>
    <row r="237" spans="1:24" x14ac:dyDescent="0.25">
      <c r="A237" t="s">
        <v>257</v>
      </c>
      <c r="B237" s="4">
        <v>45817</v>
      </c>
      <c r="C237" s="4" t="str">
        <f t="shared" si="6"/>
        <v>Jun</v>
      </c>
      <c r="D237" t="s">
        <v>1522</v>
      </c>
      <c r="E237" t="s">
        <v>1527</v>
      </c>
      <c r="F237" t="s">
        <v>1530</v>
      </c>
      <c r="G237" t="s">
        <v>1544</v>
      </c>
      <c r="H237" t="s">
        <v>4</v>
      </c>
      <c r="I237">
        <v>2025</v>
      </c>
      <c r="J237" t="s">
        <v>1554</v>
      </c>
      <c r="K237" t="s">
        <v>1556</v>
      </c>
      <c r="L237">
        <v>1684573</v>
      </c>
      <c r="M237">
        <v>1576775</v>
      </c>
      <c r="N237">
        <v>107798</v>
      </c>
      <c r="O237">
        <v>51</v>
      </c>
      <c r="P237" t="str">
        <f t="shared" si="7"/>
        <v>senior</v>
      </c>
      <c r="Q237" t="s">
        <v>1559</v>
      </c>
      <c r="R237" t="s">
        <v>1561</v>
      </c>
      <c r="S237" t="s">
        <v>1567</v>
      </c>
      <c r="T237">
        <v>2040019</v>
      </c>
      <c r="U237">
        <v>5</v>
      </c>
      <c r="V237" t="s">
        <v>1584</v>
      </c>
      <c r="W237" t="s">
        <v>1592</v>
      </c>
      <c r="X237">
        <v>6.4</v>
      </c>
    </row>
    <row r="238" spans="1:24" x14ac:dyDescent="0.25">
      <c r="A238" t="s">
        <v>258</v>
      </c>
      <c r="B238" s="4">
        <v>46212</v>
      </c>
      <c r="C238" s="4" t="str">
        <f t="shared" si="6"/>
        <v>Jul</v>
      </c>
      <c r="D238" t="s">
        <v>1522</v>
      </c>
      <c r="E238" t="s">
        <v>1525</v>
      </c>
      <c r="F238" t="s">
        <v>1533</v>
      </c>
      <c r="G238" t="s">
        <v>1539</v>
      </c>
      <c r="H238" t="s">
        <v>4</v>
      </c>
      <c r="I238">
        <v>2024</v>
      </c>
      <c r="J238" t="s">
        <v>1554</v>
      </c>
      <c r="K238" t="s">
        <v>1557</v>
      </c>
      <c r="L238">
        <v>1401500</v>
      </c>
      <c r="M238">
        <v>1295414</v>
      </c>
      <c r="N238">
        <v>106086</v>
      </c>
      <c r="O238">
        <v>36</v>
      </c>
      <c r="P238" t="str">
        <f t="shared" si="7"/>
        <v>adult</v>
      </c>
      <c r="Q238" t="s">
        <v>1559</v>
      </c>
      <c r="R238" t="s">
        <v>1561</v>
      </c>
      <c r="S238" t="s">
        <v>1567</v>
      </c>
      <c r="T238">
        <v>592447</v>
      </c>
      <c r="U238">
        <v>1</v>
      </c>
      <c r="V238" t="s">
        <v>1587</v>
      </c>
      <c r="W238" t="s">
        <v>1594</v>
      </c>
      <c r="X238">
        <v>7.57</v>
      </c>
    </row>
    <row r="239" spans="1:24" x14ac:dyDescent="0.25">
      <c r="A239" t="s">
        <v>259</v>
      </c>
      <c r="B239" s="4">
        <v>46110</v>
      </c>
      <c r="C239" s="4" t="str">
        <f t="shared" si="6"/>
        <v>Mar</v>
      </c>
      <c r="D239" t="s">
        <v>1522</v>
      </c>
      <c r="E239" t="s">
        <v>1523</v>
      </c>
      <c r="F239" t="s">
        <v>1535</v>
      </c>
      <c r="G239" t="s">
        <v>1540</v>
      </c>
      <c r="H239" t="s">
        <v>1550</v>
      </c>
      <c r="I239">
        <v>2024</v>
      </c>
      <c r="J239" t="s">
        <v>1554</v>
      </c>
      <c r="K239" t="s">
        <v>1557</v>
      </c>
      <c r="L239">
        <v>1701881</v>
      </c>
      <c r="M239">
        <v>1431033</v>
      </c>
      <c r="N239">
        <v>270848</v>
      </c>
      <c r="O239">
        <v>21</v>
      </c>
      <c r="P239" t="str">
        <f t="shared" si="7"/>
        <v>young</v>
      </c>
      <c r="Q239" t="s">
        <v>1558</v>
      </c>
      <c r="R239" t="s">
        <v>1565</v>
      </c>
      <c r="S239" t="s">
        <v>1567</v>
      </c>
      <c r="T239">
        <v>2176975</v>
      </c>
      <c r="U239">
        <v>1</v>
      </c>
      <c r="V239" t="s">
        <v>1586</v>
      </c>
      <c r="W239" t="s">
        <v>1591</v>
      </c>
      <c r="X239">
        <v>15.91</v>
      </c>
    </row>
    <row r="240" spans="1:24" x14ac:dyDescent="0.25">
      <c r="A240" t="s">
        <v>260</v>
      </c>
      <c r="B240" s="4">
        <v>46083</v>
      </c>
      <c r="C240" s="4" t="str">
        <f t="shared" si="6"/>
        <v>Mar</v>
      </c>
      <c r="D240" t="s">
        <v>1522</v>
      </c>
      <c r="E240" t="s">
        <v>1525</v>
      </c>
      <c r="F240" t="s">
        <v>1534</v>
      </c>
      <c r="G240" t="s">
        <v>1539</v>
      </c>
      <c r="H240" t="s">
        <v>4</v>
      </c>
      <c r="I240">
        <v>2023</v>
      </c>
      <c r="J240" t="s">
        <v>1554</v>
      </c>
      <c r="K240" t="s">
        <v>1557</v>
      </c>
      <c r="L240">
        <v>1397314</v>
      </c>
      <c r="M240">
        <v>1267161</v>
      </c>
      <c r="N240">
        <v>130153</v>
      </c>
      <c r="O240">
        <v>59</v>
      </c>
      <c r="P240" t="str">
        <f t="shared" si="7"/>
        <v>senior</v>
      </c>
      <c r="Q240" t="s">
        <v>1559</v>
      </c>
      <c r="R240" t="s">
        <v>1565</v>
      </c>
      <c r="S240" t="s">
        <v>1568</v>
      </c>
      <c r="T240">
        <v>2199226</v>
      </c>
      <c r="U240">
        <v>2</v>
      </c>
      <c r="V240" t="s">
        <v>1586</v>
      </c>
      <c r="W240" t="s">
        <v>1591</v>
      </c>
      <c r="X240">
        <v>9.31</v>
      </c>
    </row>
    <row r="241" spans="1:24" x14ac:dyDescent="0.25">
      <c r="A241" t="s">
        <v>261</v>
      </c>
      <c r="B241" s="4">
        <v>45920</v>
      </c>
      <c r="C241" s="4" t="str">
        <f t="shared" si="6"/>
        <v>Sep</v>
      </c>
      <c r="D241" t="s">
        <v>1522</v>
      </c>
      <c r="E241" t="s">
        <v>1524</v>
      </c>
      <c r="F241" t="s">
        <v>1533</v>
      </c>
      <c r="G241" t="s">
        <v>1548</v>
      </c>
      <c r="H241" t="s">
        <v>1551</v>
      </c>
      <c r="I241">
        <v>2024</v>
      </c>
      <c r="J241" t="s">
        <v>1554</v>
      </c>
      <c r="K241" t="s">
        <v>1556</v>
      </c>
      <c r="L241">
        <v>1056594</v>
      </c>
      <c r="M241">
        <v>917714</v>
      </c>
      <c r="N241">
        <v>138880</v>
      </c>
      <c r="O241">
        <v>52</v>
      </c>
      <c r="P241" t="str">
        <f t="shared" si="7"/>
        <v>senior</v>
      </c>
      <c r="Q241" t="s">
        <v>1559</v>
      </c>
      <c r="R241" t="s">
        <v>1566</v>
      </c>
      <c r="S241" t="s">
        <v>1567</v>
      </c>
      <c r="T241">
        <v>1155424</v>
      </c>
      <c r="U241">
        <v>3</v>
      </c>
      <c r="V241" t="s">
        <v>1577</v>
      </c>
      <c r="W241" t="s">
        <v>1594</v>
      </c>
      <c r="X241">
        <v>13.14</v>
      </c>
    </row>
    <row r="242" spans="1:24" x14ac:dyDescent="0.25">
      <c r="A242" t="s">
        <v>262</v>
      </c>
      <c r="B242" s="4">
        <v>45892</v>
      </c>
      <c r="C242" s="4" t="str">
        <f t="shared" si="6"/>
        <v>Aug</v>
      </c>
      <c r="D242" t="s">
        <v>1522</v>
      </c>
      <c r="E242" t="s">
        <v>1527</v>
      </c>
      <c r="F242" t="s">
        <v>1529</v>
      </c>
      <c r="G242" t="s">
        <v>1544</v>
      </c>
      <c r="H242" t="s">
        <v>1550</v>
      </c>
      <c r="I242">
        <v>2026</v>
      </c>
      <c r="J242" t="s">
        <v>1554</v>
      </c>
      <c r="K242" t="s">
        <v>1557</v>
      </c>
      <c r="L242">
        <v>1276743</v>
      </c>
      <c r="M242">
        <v>1148907</v>
      </c>
      <c r="N242">
        <v>127836</v>
      </c>
      <c r="O242">
        <v>27</v>
      </c>
      <c r="P242" t="str">
        <f t="shared" si="7"/>
        <v>young</v>
      </c>
      <c r="Q242" t="s">
        <v>1559</v>
      </c>
      <c r="R242" t="s">
        <v>1565</v>
      </c>
      <c r="S242" t="s">
        <v>1569</v>
      </c>
      <c r="T242">
        <v>1730439</v>
      </c>
      <c r="U242">
        <v>3</v>
      </c>
      <c r="V242" t="s">
        <v>1585</v>
      </c>
      <c r="W242" t="s">
        <v>1594</v>
      </c>
      <c r="X242">
        <v>10.01</v>
      </c>
    </row>
    <row r="243" spans="1:24" x14ac:dyDescent="0.25">
      <c r="A243" t="s">
        <v>263</v>
      </c>
      <c r="B243" s="4">
        <v>45973</v>
      </c>
      <c r="C243" s="4" t="str">
        <f t="shared" si="6"/>
        <v>Nov</v>
      </c>
      <c r="D243" t="s">
        <v>1522</v>
      </c>
      <c r="E243" t="s">
        <v>1527</v>
      </c>
      <c r="F243" t="s">
        <v>1535</v>
      </c>
      <c r="G243" t="s">
        <v>1541</v>
      </c>
      <c r="H243" t="s">
        <v>1552</v>
      </c>
      <c r="I243">
        <v>2025</v>
      </c>
      <c r="J243" t="s">
        <v>1555</v>
      </c>
      <c r="K243" t="s">
        <v>1556</v>
      </c>
      <c r="L243">
        <v>2058915</v>
      </c>
      <c r="M243">
        <v>1935056</v>
      </c>
      <c r="N243">
        <v>123859</v>
      </c>
      <c r="O243">
        <v>23</v>
      </c>
      <c r="P243" t="str">
        <f t="shared" si="7"/>
        <v>young</v>
      </c>
      <c r="Q243" t="s">
        <v>1558</v>
      </c>
      <c r="R243" t="s">
        <v>1566</v>
      </c>
      <c r="S243" t="s">
        <v>1567</v>
      </c>
      <c r="T243">
        <v>1306904</v>
      </c>
      <c r="U243">
        <v>2</v>
      </c>
      <c r="V243" t="s">
        <v>1583</v>
      </c>
      <c r="W243" t="s">
        <v>1593</v>
      </c>
      <c r="X243">
        <v>6.02</v>
      </c>
    </row>
    <row r="244" spans="1:24" x14ac:dyDescent="0.25">
      <c r="A244" t="s">
        <v>264</v>
      </c>
      <c r="B244" s="4">
        <v>46051</v>
      </c>
      <c r="C244" s="4" t="str">
        <f t="shared" si="6"/>
        <v>Jan</v>
      </c>
      <c r="D244" t="s">
        <v>1522</v>
      </c>
      <c r="E244" t="s">
        <v>1525</v>
      </c>
      <c r="F244" t="s">
        <v>1534</v>
      </c>
      <c r="G244" t="s">
        <v>1541</v>
      </c>
      <c r="H244" t="s">
        <v>1552</v>
      </c>
      <c r="I244">
        <v>2025</v>
      </c>
      <c r="J244" t="s">
        <v>1555</v>
      </c>
      <c r="K244" t="s">
        <v>1556</v>
      </c>
      <c r="L244">
        <v>1934448</v>
      </c>
      <c r="M244">
        <v>1766008</v>
      </c>
      <c r="N244">
        <v>168440</v>
      </c>
      <c r="O244">
        <v>30</v>
      </c>
      <c r="P244" t="str">
        <f t="shared" si="7"/>
        <v>young</v>
      </c>
      <c r="Q244" t="s">
        <v>1558</v>
      </c>
      <c r="R244" t="s">
        <v>1561</v>
      </c>
      <c r="S244" t="s">
        <v>1570</v>
      </c>
      <c r="T244">
        <v>240426</v>
      </c>
      <c r="U244">
        <v>2</v>
      </c>
      <c r="V244" t="s">
        <v>1581</v>
      </c>
      <c r="W244" t="s">
        <v>1591</v>
      </c>
      <c r="X244">
        <v>8.7100000000000009</v>
      </c>
    </row>
    <row r="245" spans="1:24" x14ac:dyDescent="0.25">
      <c r="A245" t="s">
        <v>265</v>
      </c>
      <c r="B245" s="4">
        <v>46263</v>
      </c>
      <c r="C245" s="4" t="str">
        <f t="shared" si="6"/>
        <v>Aug</v>
      </c>
      <c r="D245" t="s">
        <v>1522</v>
      </c>
      <c r="E245" t="s">
        <v>1527</v>
      </c>
      <c r="F245" t="s">
        <v>1534</v>
      </c>
      <c r="G245" t="s">
        <v>1538</v>
      </c>
      <c r="H245" t="s">
        <v>1551</v>
      </c>
      <c r="I245">
        <v>2025</v>
      </c>
      <c r="J245" t="s">
        <v>1554</v>
      </c>
      <c r="K245" t="s">
        <v>1556</v>
      </c>
      <c r="L245">
        <v>979657</v>
      </c>
      <c r="M245">
        <v>955448</v>
      </c>
      <c r="N245">
        <v>24209</v>
      </c>
      <c r="O245">
        <v>35</v>
      </c>
      <c r="P245" t="str">
        <f t="shared" si="7"/>
        <v>adult</v>
      </c>
      <c r="Q245" t="s">
        <v>1558</v>
      </c>
      <c r="R245" t="s">
        <v>1562</v>
      </c>
      <c r="S245" t="s">
        <v>1567</v>
      </c>
      <c r="T245">
        <v>862999</v>
      </c>
      <c r="U245">
        <v>1</v>
      </c>
      <c r="V245" t="s">
        <v>1576</v>
      </c>
      <c r="W245" t="s">
        <v>1594</v>
      </c>
      <c r="X245">
        <v>2.4700000000000002</v>
      </c>
    </row>
    <row r="246" spans="1:24" x14ac:dyDescent="0.25">
      <c r="A246" t="s">
        <v>266</v>
      </c>
      <c r="B246" s="4">
        <v>46262</v>
      </c>
      <c r="C246" s="4" t="str">
        <f t="shared" si="6"/>
        <v>Aug</v>
      </c>
      <c r="D246" t="s">
        <v>1522</v>
      </c>
      <c r="E246" t="s">
        <v>1525</v>
      </c>
      <c r="F246" t="s">
        <v>1531</v>
      </c>
      <c r="G246" t="s">
        <v>1538</v>
      </c>
      <c r="H246" t="s">
        <v>4</v>
      </c>
      <c r="I246">
        <v>2022</v>
      </c>
      <c r="J246" t="s">
        <v>1554</v>
      </c>
      <c r="K246" t="s">
        <v>1556</v>
      </c>
      <c r="L246">
        <v>1846022</v>
      </c>
      <c r="M246">
        <v>1609983</v>
      </c>
      <c r="N246">
        <v>236039</v>
      </c>
      <c r="O246">
        <v>24</v>
      </c>
      <c r="P246" t="str">
        <f t="shared" si="7"/>
        <v>young</v>
      </c>
      <c r="Q246" t="s">
        <v>1558</v>
      </c>
      <c r="R246" t="s">
        <v>1564</v>
      </c>
      <c r="S246" t="s">
        <v>1568</v>
      </c>
      <c r="T246">
        <v>733070</v>
      </c>
      <c r="U246">
        <v>5</v>
      </c>
      <c r="V246" t="s">
        <v>1576</v>
      </c>
      <c r="W246" t="s">
        <v>1594</v>
      </c>
      <c r="X246">
        <v>12.79</v>
      </c>
    </row>
    <row r="247" spans="1:24" x14ac:dyDescent="0.25">
      <c r="A247" t="s">
        <v>267</v>
      </c>
      <c r="B247" s="4">
        <v>46100</v>
      </c>
      <c r="C247" s="4" t="str">
        <f t="shared" si="6"/>
        <v>Mar</v>
      </c>
      <c r="D247" t="s">
        <v>1522</v>
      </c>
      <c r="E247" t="s">
        <v>1526</v>
      </c>
      <c r="F247" t="s">
        <v>1537</v>
      </c>
      <c r="G247" t="s">
        <v>1541</v>
      </c>
      <c r="H247" t="s">
        <v>4</v>
      </c>
      <c r="I247">
        <v>2025</v>
      </c>
      <c r="J247" t="s">
        <v>1554</v>
      </c>
      <c r="K247" t="s">
        <v>1557</v>
      </c>
      <c r="L247">
        <v>1510476</v>
      </c>
      <c r="M247">
        <v>1282280</v>
      </c>
      <c r="N247">
        <v>228196</v>
      </c>
      <c r="O247">
        <v>63</v>
      </c>
      <c r="P247" t="str">
        <f t="shared" si="7"/>
        <v>senior</v>
      </c>
      <c r="Q247" t="s">
        <v>1559</v>
      </c>
      <c r="R247" t="s">
        <v>1563</v>
      </c>
      <c r="S247" t="s">
        <v>1567</v>
      </c>
      <c r="T247">
        <v>1046437</v>
      </c>
      <c r="U247">
        <v>5</v>
      </c>
      <c r="V247" t="s">
        <v>1586</v>
      </c>
      <c r="W247" t="s">
        <v>1591</v>
      </c>
      <c r="X247">
        <v>15.11</v>
      </c>
    </row>
    <row r="248" spans="1:24" x14ac:dyDescent="0.25">
      <c r="A248" t="s">
        <v>268</v>
      </c>
      <c r="B248" s="4">
        <v>46075</v>
      </c>
      <c r="C248" s="4" t="str">
        <f t="shared" si="6"/>
        <v>Feb</v>
      </c>
      <c r="D248" t="s">
        <v>1522</v>
      </c>
      <c r="E248" t="s">
        <v>1527</v>
      </c>
      <c r="F248" t="s">
        <v>1532</v>
      </c>
      <c r="G248" t="s">
        <v>1544</v>
      </c>
      <c r="H248" t="s">
        <v>1551</v>
      </c>
      <c r="I248">
        <v>2025</v>
      </c>
      <c r="J248" t="s">
        <v>1554</v>
      </c>
      <c r="K248" t="s">
        <v>1557</v>
      </c>
      <c r="L248">
        <v>955821</v>
      </c>
      <c r="M248">
        <v>870357</v>
      </c>
      <c r="N248">
        <v>85464</v>
      </c>
      <c r="O248">
        <v>52</v>
      </c>
      <c r="P248" t="str">
        <f t="shared" si="7"/>
        <v>senior</v>
      </c>
      <c r="Q248" t="s">
        <v>1559</v>
      </c>
      <c r="R248" t="s">
        <v>1562</v>
      </c>
      <c r="S248" t="s">
        <v>1570</v>
      </c>
      <c r="T248">
        <v>1400583</v>
      </c>
      <c r="U248">
        <v>2</v>
      </c>
      <c r="V248" t="s">
        <v>1589</v>
      </c>
      <c r="W248" t="s">
        <v>1591</v>
      </c>
      <c r="X248">
        <v>8.94</v>
      </c>
    </row>
    <row r="249" spans="1:24" x14ac:dyDescent="0.25">
      <c r="A249" t="s">
        <v>269</v>
      </c>
      <c r="B249" s="4">
        <v>45986</v>
      </c>
      <c r="C249" s="4" t="str">
        <f t="shared" si="6"/>
        <v>Nov</v>
      </c>
      <c r="D249" t="s">
        <v>1522</v>
      </c>
      <c r="E249" t="s">
        <v>1527</v>
      </c>
      <c r="F249" t="s">
        <v>1532</v>
      </c>
      <c r="G249" t="s">
        <v>1538</v>
      </c>
      <c r="H249" t="s">
        <v>4</v>
      </c>
      <c r="I249">
        <v>2025</v>
      </c>
      <c r="J249" t="s">
        <v>1554</v>
      </c>
      <c r="K249" t="s">
        <v>1557</v>
      </c>
      <c r="L249">
        <v>1161771</v>
      </c>
      <c r="M249">
        <v>1114533</v>
      </c>
      <c r="N249">
        <v>47238</v>
      </c>
      <c r="O249">
        <v>47</v>
      </c>
      <c r="P249" t="str">
        <f t="shared" si="7"/>
        <v>adult</v>
      </c>
      <c r="Q249" t="s">
        <v>1558</v>
      </c>
      <c r="R249" t="s">
        <v>1566</v>
      </c>
      <c r="S249" t="s">
        <v>1568</v>
      </c>
      <c r="T249">
        <v>906209</v>
      </c>
      <c r="U249">
        <v>1</v>
      </c>
      <c r="V249" t="s">
        <v>1583</v>
      </c>
      <c r="W249" t="s">
        <v>1593</v>
      </c>
      <c r="X249">
        <v>4.07</v>
      </c>
    </row>
    <row r="250" spans="1:24" x14ac:dyDescent="0.25">
      <c r="A250" t="s">
        <v>270</v>
      </c>
      <c r="B250" s="4">
        <v>46133</v>
      </c>
      <c r="C250" s="4" t="str">
        <f t="shared" si="6"/>
        <v>Apr</v>
      </c>
      <c r="D250" t="s">
        <v>1522</v>
      </c>
      <c r="E250" t="s">
        <v>1523</v>
      </c>
      <c r="F250" t="s">
        <v>1535</v>
      </c>
      <c r="G250" t="s">
        <v>1544</v>
      </c>
      <c r="H250" t="s">
        <v>4</v>
      </c>
      <c r="I250">
        <v>2026</v>
      </c>
      <c r="J250" t="s">
        <v>1554</v>
      </c>
      <c r="K250" t="s">
        <v>1556</v>
      </c>
      <c r="L250">
        <v>1467488</v>
      </c>
      <c r="M250">
        <v>1230112</v>
      </c>
      <c r="N250">
        <v>237376</v>
      </c>
      <c r="O250">
        <v>51</v>
      </c>
      <c r="P250" t="str">
        <f t="shared" si="7"/>
        <v>senior</v>
      </c>
      <c r="Q250" t="s">
        <v>1558</v>
      </c>
      <c r="R250" t="s">
        <v>1564</v>
      </c>
      <c r="S250" t="s">
        <v>1569</v>
      </c>
      <c r="T250">
        <v>282839</v>
      </c>
      <c r="U250">
        <v>4</v>
      </c>
      <c r="V250" t="s">
        <v>1580</v>
      </c>
      <c r="W250" t="s">
        <v>1592</v>
      </c>
      <c r="X250">
        <v>16.18</v>
      </c>
    </row>
    <row r="251" spans="1:24" x14ac:dyDescent="0.25">
      <c r="A251" t="s">
        <v>271</v>
      </c>
      <c r="B251" s="4">
        <v>45896</v>
      </c>
      <c r="C251" s="4" t="str">
        <f t="shared" si="6"/>
        <v>Aug</v>
      </c>
      <c r="D251" t="s">
        <v>1522</v>
      </c>
      <c r="E251" t="s">
        <v>1524</v>
      </c>
      <c r="F251" t="s">
        <v>1532</v>
      </c>
      <c r="G251" t="s">
        <v>1548</v>
      </c>
      <c r="H251" t="s">
        <v>4</v>
      </c>
      <c r="I251">
        <v>2022</v>
      </c>
      <c r="J251" t="s">
        <v>1554</v>
      </c>
      <c r="K251" t="s">
        <v>1556</v>
      </c>
      <c r="L251">
        <v>1504482</v>
      </c>
      <c r="M251">
        <v>1267786</v>
      </c>
      <c r="N251">
        <v>236696</v>
      </c>
      <c r="O251">
        <v>24</v>
      </c>
      <c r="P251" t="str">
        <f t="shared" si="7"/>
        <v>young</v>
      </c>
      <c r="Q251" t="s">
        <v>1558</v>
      </c>
      <c r="R251" t="s">
        <v>1563</v>
      </c>
      <c r="S251" t="s">
        <v>1570</v>
      </c>
      <c r="T251">
        <v>1393369</v>
      </c>
      <c r="U251">
        <v>3</v>
      </c>
      <c r="V251" t="s">
        <v>1585</v>
      </c>
      <c r="W251" t="s">
        <v>1594</v>
      </c>
      <c r="X251">
        <v>15.73</v>
      </c>
    </row>
    <row r="252" spans="1:24" x14ac:dyDescent="0.25">
      <c r="A252" t="s">
        <v>272</v>
      </c>
      <c r="B252" s="4">
        <v>45775</v>
      </c>
      <c r="C252" s="4" t="str">
        <f t="shared" si="6"/>
        <v>Apr</v>
      </c>
      <c r="D252" t="s">
        <v>1522</v>
      </c>
      <c r="E252" t="s">
        <v>1526</v>
      </c>
      <c r="F252" t="s">
        <v>1528</v>
      </c>
      <c r="G252" t="s">
        <v>1541</v>
      </c>
      <c r="H252" t="s">
        <v>1552</v>
      </c>
      <c r="I252">
        <v>2023</v>
      </c>
      <c r="J252" t="s">
        <v>1555</v>
      </c>
      <c r="K252" t="s">
        <v>1556</v>
      </c>
      <c r="L252">
        <v>1988962</v>
      </c>
      <c r="M252">
        <v>1784945</v>
      </c>
      <c r="N252">
        <v>204017</v>
      </c>
      <c r="O252">
        <v>65</v>
      </c>
      <c r="P252" t="str">
        <f t="shared" si="7"/>
        <v>senior</v>
      </c>
      <c r="Q252" t="s">
        <v>1558</v>
      </c>
      <c r="R252" t="s">
        <v>1561</v>
      </c>
      <c r="S252" t="s">
        <v>1569</v>
      </c>
      <c r="T252">
        <v>677400</v>
      </c>
      <c r="U252">
        <v>5</v>
      </c>
      <c r="V252" t="s">
        <v>1573</v>
      </c>
      <c r="W252" t="s">
        <v>1592</v>
      </c>
      <c r="X252">
        <v>10.26</v>
      </c>
    </row>
    <row r="253" spans="1:24" x14ac:dyDescent="0.25">
      <c r="A253" t="s">
        <v>273</v>
      </c>
      <c r="B253" s="4">
        <v>46125</v>
      </c>
      <c r="C253" s="4" t="str">
        <f t="shared" si="6"/>
        <v>Apr</v>
      </c>
      <c r="D253" t="s">
        <v>1522</v>
      </c>
      <c r="E253" t="s">
        <v>1524</v>
      </c>
      <c r="F253" t="s">
        <v>1537</v>
      </c>
      <c r="G253" t="s">
        <v>1538</v>
      </c>
      <c r="H253" t="s">
        <v>4</v>
      </c>
      <c r="I253">
        <v>2026</v>
      </c>
      <c r="J253" t="s">
        <v>1554</v>
      </c>
      <c r="K253" t="s">
        <v>1557</v>
      </c>
      <c r="L253">
        <v>1580174</v>
      </c>
      <c r="M253">
        <v>1355457</v>
      </c>
      <c r="N253">
        <v>224717</v>
      </c>
      <c r="O253">
        <v>42</v>
      </c>
      <c r="P253" t="str">
        <f t="shared" si="7"/>
        <v>adult</v>
      </c>
      <c r="Q253" t="s">
        <v>1558</v>
      </c>
      <c r="R253" t="s">
        <v>1566</v>
      </c>
      <c r="S253" t="s">
        <v>1568</v>
      </c>
      <c r="T253">
        <v>1112253</v>
      </c>
      <c r="U253">
        <v>4</v>
      </c>
      <c r="V253" t="s">
        <v>1580</v>
      </c>
      <c r="W253" t="s">
        <v>1592</v>
      </c>
      <c r="X253">
        <v>14.22</v>
      </c>
    </row>
    <row r="254" spans="1:24" x14ac:dyDescent="0.25">
      <c r="A254" t="s">
        <v>274</v>
      </c>
      <c r="B254" s="4">
        <v>45699</v>
      </c>
      <c r="C254" s="4" t="str">
        <f t="shared" si="6"/>
        <v>Feb</v>
      </c>
      <c r="D254" t="s">
        <v>1522</v>
      </c>
      <c r="E254" t="s">
        <v>1527</v>
      </c>
      <c r="F254" t="s">
        <v>1533</v>
      </c>
      <c r="G254" t="s">
        <v>1539</v>
      </c>
      <c r="H254" t="s">
        <v>4</v>
      </c>
      <c r="I254">
        <v>2024</v>
      </c>
      <c r="J254" t="s">
        <v>1554</v>
      </c>
      <c r="K254" t="s">
        <v>1556</v>
      </c>
      <c r="L254">
        <v>1278966</v>
      </c>
      <c r="M254">
        <v>1053302</v>
      </c>
      <c r="N254">
        <v>225664</v>
      </c>
      <c r="O254">
        <v>52</v>
      </c>
      <c r="P254" t="str">
        <f t="shared" si="7"/>
        <v>senior</v>
      </c>
      <c r="Q254" t="s">
        <v>1558</v>
      </c>
      <c r="R254" t="s">
        <v>1566</v>
      </c>
      <c r="S254" t="s">
        <v>1570</v>
      </c>
      <c r="T254">
        <v>347209</v>
      </c>
      <c r="U254">
        <v>5</v>
      </c>
      <c r="V254" t="s">
        <v>1578</v>
      </c>
      <c r="W254" t="s">
        <v>1591</v>
      </c>
      <c r="X254">
        <v>17.64</v>
      </c>
    </row>
    <row r="255" spans="1:24" x14ac:dyDescent="0.25">
      <c r="A255" t="s">
        <v>275</v>
      </c>
      <c r="B255" s="4">
        <v>46149</v>
      </c>
      <c r="C255" s="4" t="str">
        <f t="shared" si="6"/>
        <v>May</v>
      </c>
      <c r="D255" t="s">
        <v>1522</v>
      </c>
      <c r="E255" t="s">
        <v>1526</v>
      </c>
      <c r="F255" t="s">
        <v>1537</v>
      </c>
      <c r="G255" t="s">
        <v>1545</v>
      </c>
      <c r="H255" t="s">
        <v>1552</v>
      </c>
      <c r="I255">
        <v>2026</v>
      </c>
      <c r="J255" t="s">
        <v>1555</v>
      </c>
      <c r="K255" t="s">
        <v>1556</v>
      </c>
      <c r="L255">
        <v>1997896</v>
      </c>
      <c r="M255">
        <v>1640484</v>
      </c>
      <c r="N255">
        <v>357412</v>
      </c>
      <c r="O255">
        <v>44</v>
      </c>
      <c r="P255" t="str">
        <f t="shared" si="7"/>
        <v>adult</v>
      </c>
      <c r="Q255" t="s">
        <v>1560</v>
      </c>
      <c r="R255" t="s">
        <v>1562</v>
      </c>
      <c r="S255" t="s">
        <v>1570</v>
      </c>
      <c r="T255">
        <v>280887</v>
      </c>
      <c r="U255">
        <v>1</v>
      </c>
      <c r="V255" t="s">
        <v>1590</v>
      </c>
      <c r="W255" t="s">
        <v>1592</v>
      </c>
      <c r="X255">
        <v>17.89</v>
      </c>
    </row>
    <row r="256" spans="1:24" x14ac:dyDescent="0.25">
      <c r="A256" t="s">
        <v>276</v>
      </c>
      <c r="B256" s="4">
        <v>45690</v>
      </c>
      <c r="C256" s="4" t="str">
        <f t="shared" si="6"/>
        <v>Feb</v>
      </c>
      <c r="D256" t="s">
        <v>1522</v>
      </c>
      <c r="E256" t="s">
        <v>1523</v>
      </c>
      <c r="F256" t="s">
        <v>1535</v>
      </c>
      <c r="G256" t="s">
        <v>1544</v>
      </c>
      <c r="H256" t="s">
        <v>1551</v>
      </c>
      <c r="I256">
        <v>2024</v>
      </c>
      <c r="J256" t="s">
        <v>1554</v>
      </c>
      <c r="K256" t="s">
        <v>1556</v>
      </c>
      <c r="L256">
        <v>841783</v>
      </c>
      <c r="M256">
        <v>774751</v>
      </c>
      <c r="N256">
        <v>67032</v>
      </c>
      <c r="O256">
        <v>28</v>
      </c>
      <c r="P256" t="str">
        <f t="shared" si="7"/>
        <v>young</v>
      </c>
      <c r="Q256" t="s">
        <v>1559</v>
      </c>
      <c r="R256" t="s">
        <v>1561</v>
      </c>
      <c r="S256" t="s">
        <v>1569</v>
      </c>
      <c r="T256">
        <v>100105</v>
      </c>
      <c r="U256">
        <v>1</v>
      </c>
      <c r="V256" t="s">
        <v>1578</v>
      </c>
      <c r="W256" t="s">
        <v>1591</v>
      </c>
      <c r="X256">
        <v>7.96</v>
      </c>
    </row>
    <row r="257" spans="1:24" x14ac:dyDescent="0.25">
      <c r="A257" t="s">
        <v>277</v>
      </c>
      <c r="B257" s="4">
        <v>45996</v>
      </c>
      <c r="C257" s="4" t="str">
        <f t="shared" si="6"/>
        <v>Dec</v>
      </c>
      <c r="D257" t="s">
        <v>1522</v>
      </c>
      <c r="E257" t="s">
        <v>1524</v>
      </c>
      <c r="F257" t="s">
        <v>1528</v>
      </c>
      <c r="G257" t="s">
        <v>1544</v>
      </c>
      <c r="H257" t="s">
        <v>1550</v>
      </c>
      <c r="I257">
        <v>2024</v>
      </c>
      <c r="J257" t="s">
        <v>1554</v>
      </c>
      <c r="K257" t="s">
        <v>1556</v>
      </c>
      <c r="L257">
        <v>1629619</v>
      </c>
      <c r="M257">
        <v>1400798</v>
      </c>
      <c r="N257">
        <v>228821</v>
      </c>
      <c r="O257">
        <v>40</v>
      </c>
      <c r="P257" t="str">
        <f t="shared" si="7"/>
        <v>adult</v>
      </c>
      <c r="Q257" t="s">
        <v>1559</v>
      </c>
      <c r="R257" t="s">
        <v>1563</v>
      </c>
      <c r="S257" t="s">
        <v>1568</v>
      </c>
      <c r="T257">
        <v>362956</v>
      </c>
      <c r="U257">
        <v>5</v>
      </c>
      <c r="V257" t="s">
        <v>1575</v>
      </c>
      <c r="W257" t="s">
        <v>1593</v>
      </c>
      <c r="X257">
        <v>14.04</v>
      </c>
    </row>
    <row r="258" spans="1:24" x14ac:dyDescent="0.25">
      <c r="A258" t="s">
        <v>278</v>
      </c>
      <c r="B258" s="4">
        <v>45979</v>
      </c>
      <c r="C258" s="4" t="str">
        <f t="shared" si="6"/>
        <v>Nov</v>
      </c>
      <c r="D258" t="s">
        <v>1522</v>
      </c>
      <c r="E258" t="s">
        <v>1526</v>
      </c>
      <c r="F258" t="s">
        <v>1529</v>
      </c>
      <c r="G258" t="s">
        <v>1539</v>
      </c>
      <c r="H258" t="s">
        <v>4</v>
      </c>
      <c r="I258">
        <v>2025</v>
      </c>
      <c r="J258" t="s">
        <v>1554</v>
      </c>
      <c r="K258" t="s">
        <v>1557</v>
      </c>
      <c r="L258">
        <v>1442724</v>
      </c>
      <c r="M258">
        <v>1219695</v>
      </c>
      <c r="N258">
        <v>223029</v>
      </c>
      <c r="O258">
        <v>23</v>
      </c>
      <c r="P258" t="str">
        <f t="shared" si="7"/>
        <v>young</v>
      </c>
      <c r="Q258" t="s">
        <v>1558</v>
      </c>
      <c r="R258" t="s">
        <v>1565</v>
      </c>
      <c r="S258" t="s">
        <v>1569</v>
      </c>
      <c r="T258">
        <v>1901320</v>
      </c>
      <c r="U258">
        <v>1</v>
      </c>
      <c r="V258" t="s">
        <v>1583</v>
      </c>
      <c r="W258" t="s">
        <v>1593</v>
      </c>
      <c r="X258">
        <v>15.46</v>
      </c>
    </row>
    <row r="259" spans="1:24" x14ac:dyDescent="0.25">
      <c r="A259" t="s">
        <v>279</v>
      </c>
      <c r="B259" s="4">
        <v>46132</v>
      </c>
      <c r="C259" s="4" t="str">
        <f t="shared" ref="C259:C322" si="8">TEXT(B259,"MMM")</f>
        <v>Apr</v>
      </c>
      <c r="D259" t="s">
        <v>1522</v>
      </c>
      <c r="E259" t="s">
        <v>1527</v>
      </c>
      <c r="F259" t="s">
        <v>1537</v>
      </c>
      <c r="G259" t="s">
        <v>1545</v>
      </c>
      <c r="H259" t="s">
        <v>1552</v>
      </c>
      <c r="I259">
        <v>2024</v>
      </c>
      <c r="J259" t="s">
        <v>1555</v>
      </c>
      <c r="K259" t="s">
        <v>1556</v>
      </c>
      <c r="L259">
        <v>2025080</v>
      </c>
      <c r="M259">
        <v>1750244</v>
      </c>
      <c r="N259">
        <v>274836</v>
      </c>
      <c r="O259">
        <v>33</v>
      </c>
      <c r="P259" t="str">
        <f t="shared" ref="P259:P322" si="9">IF(O259&gt;50,"senior",IF(O259&gt;30,"adult","young"))</f>
        <v>adult</v>
      </c>
      <c r="Q259" t="s">
        <v>1558</v>
      </c>
      <c r="R259" t="s">
        <v>1564</v>
      </c>
      <c r="S259" t="s">
        <v>1567</v>
      </c>
      <c r="T259">
        <v>158869</v>
      </c>
      <c r="U259">
        <v>2</v>
      </c>
      <c r="V259" t="s">
        <v>1580</v>
      </c>
      <c r="W259" t="s">
        <v>1592</v>
      </c>
      <c r="X259">
        <v>13.57</v>
      </c>
    </row>
    <row r="260" spans="1:24" x14ac:dyDescent="0.25">
      <c r="A260" t="s">
        <v>280</v>
      </c>
      <c r="B260" s="4">
        <v>46133</v>
      </c>
      <c r="C260" s="4" t="str">
        <f t="shared" si="8"/>
        <v>Apr</v>
      </c>
      <c r="D260" t="s">
        <v>1522</v>
      </c>
      <c r="E260" t="s">
        <v>1523</v>
      </c>
      <c r="F260" t="s">
        <v>1535</v>
      </c>
      <c r="G260" t="s">
        <v>1548</v>
      </c>
      <c r="H260" t="s">
        <v>1552</v>
      </c>
      <c r="I260">
        <v>2023</v>
      </c>
      <c r="J260" t="s">
        <v>1555</v>
      </c>
      <c r="K260" t="s">
        <v>1556</v>
      </c>
      <c r="L260">
        <v>1942123</v>
      </c>
      <c r="M260">
        <v>1708118</v>
      </c>
      <c r="N260">
        <v>234005</v>
      </c>
      <c r="O260">
        <v>32</v>
      </c>
      <c r="P260" t="str">
        <f t="shared" si="9"/>
        <v>adult</v>
      </c>
      <c r="Q260" t="s">
        <v>1559</v>
      </c>
      <c r="R260" t="s">
        <v>1565</v>
      </c>
      <c r="S260" t="s">
        <v>1567</v>
      </c>
      <c r="T260">
        <v>1975568</v>
      </c>
      <c r="U260">
        <v>2</v>
      </c>
      <c r="V260" t="s">
        <v>1580</v>
      </c>
      <c r="W260" t="s">
        <v>1592</v>
      </c>
      <c r="X260">
        <v>12.05</v>
      </c>
    </row>
    <row r="261" spans="1:24" x14ac:dyDescent="0.25">
      <c r="A261" t="s">
        <v>281</v>
      </c>
      <c r="B261" s="4">
        <v>45965</v>
      </c>
      <c r="C261" s="4" t="str">
        <f t="shared" si="8"/>
        <v>Nov</v>
      </c>
      <c r="D261" t="s">
        <v>1522</v>
      </c>
      <c r="E261" t="s">
        <v>1527</v>
      </c>
      <c r="F261" t="s">
        <v>1534</v>
      </c>
      <c r="G261" t="s">
        <v>1538</v>
      </c>
      <c r="H261" t="s">
        <v>1551</v>
      </c>
      <c r="I261">
        <v>2024</v>
      </c>
      <c r="J261" t="s">
        <v>1554</v>
      </c>
      <c r="K261" t="s">
        <v>1557</v>
      </c>
      <c r="L261">
        <v>928546</v>
      </c>
      <c r="M261">
        <v>885543</v>
      </c>
      <c r="N261">
        <v>43003</v>
      </c>
      <c r="O261">
        <v>39</v>
      </c>
      <c r="P261" t="str">
        <f t="shared" si="9"/>
        <v>adult</v>
      </c>
      <c r="Q261" t="s">
        <v>1558</v>
      </c>
      <c r="R261" t="s">
        <v>1563</v>
      </c>
      <c r="S261" t="s">
        <v>1567</v>
      </c>
      <c r="T261">
        <v>1104085</v>
      </c>
      <c r="U261">
        <v>4</v>
      </c>
      <c r="V261" t="s">
        <v>1583</v>
      </c>
      <c r="W261" t="s">
        <v>1593</v>
      </c>
      <c r="X261">
        <v>4.63</v>
      </c>
    </row>
    <row r="262" spans="1:24" x14ac:dyDescent="0.25">
      <c r="A262" t="s">
        <v>282</v>
      </c>
      <c r="B262" s="4">
        <v>45902</v>
      </c>
      <c r="C262" s="4" t="str">
        <f t="shared" si="8"/>
        <v>Sep</v>
      </c>
      <c r="D262" t="s">
        <v>1522</v>
      </c>
      <c r="E262" t="s">
        <v>1526</v>
      </c>
      <c r="F262" t="s">
        <v>1535</v>
      </c>
      <c r="G262" t="s">
        <v>1546</v>
      </c>
      <c r="H262" t="s">
        <v>1552</v>
      </c>
      <c r="I262">
        <v>2023</v>
      </c>
      <c r="J262" t="s">
        <v>1555</v>
      </c>
      <c r="K262" t="s">
        <v>1556</v>
      </c>
      <c r="L262">
        <v>2067693</v>
      </c>
      <c r="M262">
        <v>1727972</v>
      </c>
      <c r="N262">
        <v>339721</v>
      </c>
      <c r="O262">
        <v>25</v>
      </c>
      <c r="P262" t="str">
        <f t="shared" si="9"/>
        <v>young</v>
      </c>
      <c r="Q262" t="s">
        <v>1559</v>
      </c>
      <c r="R262" t="s">
        <v>1565</v>
      </c>
      <c r="S262" t="s">
        <v>1567</v>
      </c>
      <c r="T262">
        <v>382611</v>
      </c>
      <c r="U262">
        <v>5</v>
      </c>
      <c r="V262" t="s">
        <v>1577</v>
      </c>
      <c r="W262" t="s">
        <v>1594</v>
      </c>
      <c r="X262">
        <v>16.43</v>
      </c>
    </row>
    <row r="263" spans="1:24" x14ac:dyDescent="0.25">
      <c r="A263" t="s">
        <v>283</v>
      </c>
      <c r="B263" s="4">
        <v>45759</v>
      </c>
      <c r="C263" s="4" t="str">
        <f t="shared" si="8"/>
        <v>Apr</v>
      </c>
      <c r="D263" t="s">
        <v>1522</v>
      </c>
      <c r="E263" t="s">
        <v>1524</v>
      </c>
      <c r="F263" t="s">
        <v>1532</v>
      </c>
      <c r="G263" t="s">
        <v>1539</v>
      </c>
      <c r="H263" t="s">
        <v>1551</v>
      </c>
      <c r="I263">
        <v>2026</v>
      </c>
      <c r="J263" t="s">
        <v>1554</v>
      </c>
      <c r="K263" t="s">
        <v>1557</v>
      </c>
      <c r="L263">
        <v>844724</v>
      </c>
      <c r="M263">
        <v>741313</v>
      </c>
      <c r="N263">
        <v>103411</v>
      </c>
      <c r="O263">
        <v>37</v>
      </c>
      <c r="P263" t="str">
        <f t="shared" si="9"/>
        <v>adult</v>
      </c>
      <c r="Q263" t="s">
        <v>1559</v>
      </c>
      <c r="R263" t="s">
        <v>1561</v>
      </c>
      <c r="S263" t="s">
        <v>1568</v>
      </c>
      <c r="T263">
        <v>515017</v>
      </c>
      <c r="U263">
        <v>4</v>
      </c>
      <c r="V263" t="s">
        <v>1573</v>
      </c>
      <c r="W263" t="s">
        <v>1592</v>
      </c>
      <c r="X263">
        <v>12.24</v>
      </c>
    </row>
    <row r="264" spans="1:24" x14ac:dyDescent="0.25">
      <c r="A264" t="s">
        <v>284</v>
      </c>
      <c r="B264" s="4">
        <v>45741</v>
      </c>
      <c r="C264" s="4" t="str">
        <f t="shared" si="8"/>
        <v>Mar</v>
      </c>
      <c r="D264" t="s">
        <v>1522</v>
      </c>
      <c r="E264" t="s">
        <v>1524</v>
      </c>
      <c r="F264" t="s">
        <v>1530</v>
      </c>
      <c r="G264" t="s">
        <v>1539</v>
      </c>
      <c r="H264" t="s">
        <v>1551</v>
      </c>
      <c r="I264">
        <v>2026</v>
      </c>
      <c r="J264" t="s">
        <v>1554</v>
      </c>
      <c r="K264" t="s">
        <v>1556</v>
      </c>
      <c r="L264">
        <v>734526</v>
      </c>
      <c r="M264">
        <v>670471</v>
      </c>
      <c r="N264">
        <v>64055</v>
      </c>
      <c r="O264">
        <v>55</v>
      </c>
      <c r="P264" t="str">
        <f t="shared" si="9"/>
        <v>senior</v>
      </c>
      <c r="Q264" t="s">
        <v>1559</v>
      </c>
      <c r="R264" t="s">
        <v>1561</v>
      </c>
      <c r="S264" t="s">
        <v>1569</v>
      </c>
      <c r="T264">
        <v>1268909</v>
      </c>
      <c r="U264">
        <v>1</v>
      </c>
      <c r="V264" t="s">
        <v>1588</v>
      </c>
      <c r="W264" t="s">
        <v>1591</v>
      </c>
      <c r="X264">
        <v>8.7200000000000006</v>
      </c>
    </row>
    <row r="265" spans="1:24" x14ac:dyDescent="0.25">
      <c r="A265" t="s">
        <v>285</v>
      </c>
      <c r="B265" s="4">
        <v>45997</v>
      </c>
      <c r="C265" s="4" t="str">
        <f t="shared" si="8"/>
        <v>Dec</v>
      </c>
      <c r="D265" t="s">
        <v>1522</v>
      </c>
      <c r="E265" t="s">
        <v>1526</v>
      </c>
      <c r="F265" t="s">
        <v>1533</v>
      </c>
      <c r="G265" t="s">
        <v>1543</v>
      </c>
      <c r="H265" t="s">
        <v>1550</v>
      </c>
      <c r="I265">
        <v>2023</v>
      </c>
      <c r="J265" t="s">
        <v>1554</v>
      </c>
      <c r="K265" t="s">
        <v>1556</v>
      </c>
      <c r="L265">
        <v>1222685</v>
      </c>
      <c r="M265">
        <v>1154262</v>
      </c>
      <c r="N265">
        <v>68423</v>
      </c>
      <c r="O265">
        <v>31</v>
      </c>
      <c r="P265" t="str">
        <f t="shared" si="9"/>
        <v>adult</v>
      </c>
      <c r="Q265" t="s">
        <v>1558</v>
      </c>
      <c r="R265" t="s">
        <v>1565</v>
      </c>
      <c r="S265" t="s">
        <v>1570</v>
      </c>
      <c r="T265">
        <v>1066678</v>
      </c>
      <c r="U265">
        <v>1</v>
      </c>
      <c r="V265" t="s">
        <v>1575</v>
      </c>
      <c r="W265" t="s">
        <v>1593</v>
      </c>
      <c r="X265">
        <v>5.6</v>
      </c>
    </row>
    <row r="266" spans="1:24" x14ac:dyDescent="0.25">
      <c r="A266" t="s">
        <v>286</v>
      </c>
      <c r="B266" s="4">
        <v>46075</v>
      </c>
      <c r="C266" s="4" t="str">
        <f t="shared" si="8"/>
        <v>Feb</v>
      </c>
      <c r="D266" t="s">
        <v>1522</v>
      </c>
      <c r="E266" t="s">
        <v>1524</v>
      </c>
      <c r="F266" t="s">
        <v>1528</v>
      </c>
      <c r="G266" t="s">
        <v>1549</v>
      </c>
      <c r="H266" t="s">
        <v>1550</v>
      </c>
      <c r="I266">
        <v>2024</v>
      </c>
      <c r="J266" t="s">
        <v>1554</v>
      </c>
      <c r="K266" t="s">
        <v>1556</v>
      </c>
      <c r="L266">
        <v>1662807</v>
      </c>
      <c r="M266">
        <v>1429733</v>
      </c>
      <c r="N266">
        <v>233074</v>
      </c>
      <c r="O266">
        <v>43</v>
      </c>
      <c r="P266" t="str">
        <f t="shared" si="9"/>
        <v>adult</v>
      </c>
      <c r="Q266" t="s">
        <v>1558</v>
      </c>
      <c r="R266" t="s">
        <v>1563</v>
      </c>
      <c r="S266" t="s">
        <v>1568</v>
      </c>
      <c r="T266">
        <v>2097156</v>
      </c>
      <c r="U266">
        <v>1</v>
      </c>
      <c r="V266" t="s">
        <v>1589</v>
      </c>
      <c r="W266" t="s">
        <v>1591</v>
      </c>
      <c r="X266">
        <v>14.02</v>
      </c>
    </row>
    <row r="267" spans="1:24" x14ac:dyDescent="0.25">
      <c r="A267" t="s">
        <v>287</v>
      </c>
      <c r="B267" s="4">
        <v>45963</v>
      </c>
      <c r="C267" s="4" t="str">
        <f t="shared" si="8"/>
        <v>Nov</v>
      </c>
      <c r="D267" t="s">
        <v>1522</v>
      </c>
      <c r="E267" t="s">
        <v>1523</v>
      </c>
      <c r="F267" t="s">
        <v>1533</v>
      </c>
      <c r="G267" t="s">
        <v>1544</v>
      </c>
      <c r="H267" t="s">
        <v>4</v>
      </c>
      <c r="I267">
        <v>2025</v>
      </c>
      <c r="J267" t="s">
        <v>1554</v>
      </c>
      <c r="K267" t="s">
        <v>1557</v>
      </c>
      <c r="L267">
        <v>1349409</v>
      </c>
      <c r="M267">
        <v>1133500</v>
      </c>
      <c r="N267">
        <v>215909</v>
      </c>
      <c r="O267">
        <v>27</v>
      </c>
      <c r="P267" t="str">
        <f t="shared" si="9"/>
        <v>young</v>
      </c>
      <c r="Q267" t="s">
        <v>1558</v>
      </c>
      <c r="R267" t="s">
        <v>1562</v>
      </c>
      <c r="S267" t="s">
        <v>1567</v>
      </c>
      <c r="T267">
        <v>683341</v>
      </c>
      <c r="U267">
        <v>3</v>
      </c>
      <c r="V267" t="s">
        <v>1583</v>
      </c>
      <c r="W267" t="s">
        <v>1593</v>
      </c>
      <c r="X267">
        <v>16</v>
      </c>
    </row>
    <row r="268" spans="1:24" x14ac:dyDescent="0.25">
      <c r="A268" t="s">
        <v>288</v>
      </c>
      <c r="B268" s="4">
        <v>45977</v>
      </c>
      <c r="C268" s="4" t="str">
        <f t="shared" si="8"/>
        <v>Nov</v>
      </c>
      <c r="D268" t="s">
        <v>1522</v>
      </c>
      <c r="E268" t="s">
        <v>1523</v>
      </c>
      <c r="F268" t="s">
        <v>1532</v>
      </c>
      <c r="G268" t="s">
        <v>1549</v>
      </c>
      <c r="H268" t="s">
        <v>1551</v>
      </c>
      <c r="I268">
        <v>2022</v>
      </c>
      <c r="J268" t="s">
        <v>1554</v>
      </c>
      <c r="K268" t="s">
        <v>1557</v>
      </c>
      <c r="L268">
        <v>791504</v>
      </c>
      <c r="M268">
        <v>771638</v>
      </c>
      <c r="N268">
        <v>19866</v>
      </c>
      <c r="O268">
        <v>30</v>
      </c>
      <c r="P268" t="str">
        <f t="shared" si="9"/>
        <v>young</v>
      </c>
      <c r="Q268" t="s">
        <v>1558</v>
      </c>
      <c r="R268" t="s">
        <v>1566</v>
      </c>
      <c r="S268" t="s">
        <v>1570</v>
      </c>
      <c r="T268">
        <v>2019535</v>
      </c>
      <c r="U268">
        <v>1</v>
      </c>
      <c r="V268" t="s">
        <v>1583</v>
      </c>
      <c r="W268" t="s">
        <v>1593</v>
      </c>
      <c r="X268">
        <v>2.5099999999999998</v>
      </c>
    </row>
    <row r="269" spans="1:24" x14ac:dyDescent="0.25">
      <c r="A269" t="s">
        <v>289</v>
      </c>
      <c r="B269" s="4">
        <v>46202</v>
      </c>
      <c r="C269" s="4" t="str">
        <f t="shared" si="8"/>
        <v>Jun</v>
      </c>
      <c r="D269" t="s">
        <v>1522</v>
      </c>
      <c r="E269" t="s">
        <v>1526</v>
      </c>
      <c r="F269" t="s">
        <v>1533</v>
      </c>
      <c r="G269" t="s">
        <v>1539</v>
      </c>
      <c r="H269" t="s">
        <v>4</v>
      </c>
      <c r="I269">
        <v>2022</v>
      </c>
      <c r="J269" t="s">
        <v>1554</v>
      </c>
      <c r="K269" t="s">
        <v>1556</v>
      </c>
      <c r="L269">
        <v>1350060</v>
      </c>
      <c r="M269">
        <v>1183791</v>
      </c>
      <c r="N269">
        <v>166269</v>
      </c>
      <c r="O269">
        <v>28</v>
      </c>
      <c r="P269" t="str">
        <f t="shared" si="9"/>
        <v>young</v>
      </c>
      <c r="Q269" t="s">
        <v>1558</v>
      </c>
      <c r="R269" t="s">
        <v>1565</v>
      </c>
      <c r="S269" t="s">
        <v>1568</v>
      </c>
      <c r="T269">
        <v>1754900</v>
      </c>
      <c r="U269">
        <v>4</v>
      </c>
      <c r="V269" t="s">
        <v>1582</v>
      </c>
      <c r="W269" t="s">
        <v>1592</v>
      </c>
      <c r="X269">
        <v>12.32</v>
      </c>
    </row>
    <row r="270" spans="1:24" x14ac:dyDescent="0.25">
      <c r="A270" t="s">
        <v>290</v>
      </c>
      <c r="B270" s="4">
        <v>45883</v>
      </c>
      <c r="C270" s="4" t="str">
        <f t="shared" si="8"/>
        <v>Aug</v>
      </c>
      <c r="D270" t="s">
        <v>1522</v>
      </c>
      <c r="E270" t="s">
        <v>1527</v>
      </c>
      <c r="F270" t="s">
        <v>1529</v>
      </c>
      <c r="G270" t="s">
        <v>1542</v>
      </c>
      <c r="H270" t="s">
        <v>1550</v>
      </c>
      <c r="I270">
        <v>2023</v>
      </c>
      <c r="J270" t="s">
        <v>1554</v>
      </c>
      <c r="K270" t="s">
        <v>1556</v>
      </c>
      <c r="L270">
        <v>1640240</v>
      </c>
      <c r="M270">
        <v>1445208</v>
      </c>
      <c r="N270">
        <v>195032</v>
      </c>
      <c r="O270">
        <v>41</v>
      </c>
      <c r="P270" t="str">
        <f t="shared" si="9"/>
        <v>adult</v>
      </c>
      <c r="Q270" t="s">
        <v>1558</v>
      </c>
      <c r="R270" t="s">
        <v>1563</v>
      </c>
      <c r="S270" t="s">
        <v>1570</v>
      </c>
      <c r="T270">
        <v>1063503</v>
      </c>
      <c r="U270">
        <v>5</v>
      </c>
      <c r="V270" t="s">
        <v>1585</v>
      </c>
      <c r="W270" t="s">
        <v>1594</v>
      </c>
      <c r="X270">
        <v>11.89</v>
      </c>
    </row>
    <row r="271" spans="1:24" x14ac:dyDescent="0.25">
      <c r="A271" t="s">
        <v>291</v>
      </c>
      <c r="B271" s="4">
        <v>45819</v>
      </c>
      <c r="C271" s="4" t="str">
        <f t="shared" si="8"/>
        <v>Jun</v>
      </c>
      <c r="D271" t="s">
        <v>1522</v>
      </c>
      <c r="E271" t="s">
        <v>1523</v>
      </c>
      <c r="F271" t="s">
        <v>1528</v>
      </c>
      <c r="G271" t="s">
        <v>1542</v>
      </c>
      <c r="H271" t="s">
        <v>1551</v>
      </c>
      <c r="I271">
        <v>2026</v>
      </c>
      <c r="J271" t="s">
        <v>1554</v>
      </c>
      <c r="K271" t="s">
        <v>1556</v>
      </c>
      <c r="L271">
        <v>903611</v>
      </c>
      <c r="M271">
        <v>817257</v>
      </c>
      <c r="N271">
        <v>86354</v>
      </c>
      <c r="O271">
        <v>43</v>
      </c>
      <c r="P271" t="str">
        <f t="shared" si="9"/>
        <v>adult</v>
      </c>
      <c r="Q271" t="s">
        <v>1559</v>
      </c>
      <c r="R271" t="s">
        <v>1561</v>
      </c>
      <c r="S271" t="s">
        <v>1567</v>
      </c>
      <c r="T271">
        <v>1884762</v>
      </c>
      <c r="U271">
        <v>4</v>
      </c>
      <c r="V271" t="s">
        <v>1584</v>
      </c>
      <c r="W271" t="s">
        <v>1592</v>
      </c>
      <c r="X271">
        <v>9.56</v>
      </c>
    </row>
    <row r="272" spans="1:24" x14ac:dyDescent="0.25">
      <c r="A272" t="s">
        <v>292</v>
      </c>
      <c r="B272" s="4">
        <v>46168</v>
      </c>
      <c r="C272" s="4" t="str">
        <f t="shared" si="8"/>
        <v>May</v>
      </c>
      <c r="D272" t="s">
        <v>1522</v>
      </c>
      <c r="E272" t="s">
        <v>1527</v>
      </c>
      <c r="F272" t="s">
        <v>1537</v>
      </c>
      <c r="G272" t="s">
        <v>1539</v>
      </c>
      <c r="H272" t="s">
        <v>4</v>
      </c>
      <c r="I272">
        <v>2024</v>
      </c>
      <c r="J272" t="s">
        <v>1554</v>
      </c>
      <c r="K272" t="s">
        <v>1556</v>
      </c>
      <c r="L272">
        <v>1269996</v>
      </c>
      <c r="M272">
        <v>1188083</v>
      </c>
      <c r="N272">
        <v>81913</v>
      </c>
      <c r="O272">
        <v>50</v>
      </c>
      <c r="P272" t="str">
        <f t="shared" si="9"/>
        <v>adult</v>
      </c>
      <c r="Q272" t="s">
        <v>1558</v>
      </c>
      <c r="R272" t="s">
        <v>1561</v>
      </c>
      <c r="S272" t="s">
        <v>1570</v>
      </c>
      <c r="T272">
        <v>2189668</v>
      </c>
      <c r="U272">
        <v>5</v>
      </c>
      <c r="V272" t="s">
        <v>1590</v>
      </c>
      <c r="W272" t="s">
        <v>1592</v>
      </c>
      <c r="X272">
        <v>6.45</v>
      </c>
    </row>
    <row r="273" spans="1:24" x14ac:dyDescent="0.25">
      <c r="A273" t="s">
        <v>293</v>
      </c>
      <c r="B273" s="4">
        <v>46217</v>
      </c>
      <c r="C273" s="4" t="str">
        <f t="shared" si="8"/>
        <v>Jul</v>
      </c>
      <c r="D273" t="s">
        <v>1522</v>
      </c>
      <c r="E273" t="s">
        <v>1527</v>
      </c>
      <c r="F273" t="s">
        <v>1530</v>
      </c>
      <c r="G273" t="s">
        <v>1539</v>
      </c>
      <c r="H273" t="s">
        <v>1552</v>
      </c>
      <c r="I273">
        <v>2023</v>
      </c>
      <c r="J273" t="s">
        <v>1555</v>
      </c>
      <c r="K273" t="s">
        <v>1556</v>
      </c>
      <c r="L273">
        <v>1895279</v>
      </c>
      <c r="M273">
        <v>1764227</v>
      </c>
      <c r="N273">
        <v>131052</v>
      </c>
      <c r="O273">
        <v>45</v>
      </c>
      <c r="P273" t="str">
        <f t="shared" si="9"/>
        <v>adult</v>
      </c>
      <c r="Q273" t="s">
        <v>1559</v>
      </c>
      <c r="R273" t="s">
        <v>1561</v>
      </c>
      <c r="S273" t="s">
        <v>1567</v>
      </c>
      <c r="T273">
        <v>123836</v>
      </c>
      <c r="U273">
        <v>1</v>
      </c>
      <c r="V273" t="s">
        <v>1587</v>
      </c>
      <c r="W273" t="s">
        <v>1594</v>
      </c>
      <c r="X273">
        <v>6.91</v>
      </c>
    </row>
    <row r="274" spans="1:24" x14ac:dyDescent="0.25">
      <c r="A274" t="s">
        <v>294</v>
      </c>
      <c r="B274" s="4">
        <v>46118</v>
      </c>
      <c r="C274" s="4" t="str">
        <f t="shared" si="8"/>
        <v>Apr</v>
      </c>
      <c r="D274" t="s">
        <v>1522</v>
      </c>
      <c r="E274" t="s">
        <v>1525</v>
      </c>
      <c r="F274" t="s">
        <v>1533</v>
      </c>
      <c r="G274" t="s">
        <v>1546</v>
      </c>
      <c r="H274" t="s">
        <v>1552</v>
      </c>
      <c r="I274">
        <v>2023</v>
      </c>
      <c r="J274" t="s">
        <v>1555</v>
      </c>
      <c r="K274" t="s">
        <v>1556</v>
      </c>
      <c r="L274">
        <v>1974674</v>
      </c>
      <c r="M274">
        <v>1749294</v>
      </c>
      <c r="N274">
        <v>225380</v>
      </c>
      <c r="O274">
        <v>62</v>
      </c>
      <c r="P274" t="str">
        <f t="shared" si="9"/>
        <v>senior</v>
      </c>
      <c r="Q274" t="s">
        <v>1558</v>
      </c>
      <c r="R274" t="s">
        <v>1565</v>
      </c>
      <c r="S274" t="s">
        <v>1567</v>
      </c>
      <c r="T274">
        <v>2018393</v>
      </c>
      <c r="U274">
        <v>2</v>
      </c>
      <c r="V274" t="s">
        <v>1580</v>
      </c>
      <c r="W274" t="s">
        <v>1592</v>
      </c>
      <c r="X274">
        <v>11.41</v>
      </c>
    </row>
    <row r="275" spans="1:24" x14ac:dyDescent="0.25">
      <c r="A275" t="s">
        <v>295</v>
      </c>
      <c r="B275" s="4">
        <v>46188</v>
      </c>
      <c r="C275" s="4" t="str">
        <f t="shared" si="8"/>
        <v>Jun</v>
      </c>
      <c r="D275" t="s">
        <v>1522</v>
      </c>
      <c r="E275" t="s">
        <v>1524</v>
      </c>
      <c r="F275" t="s">
        <v>1534</v>
      </c>
      <c r="G275" t="s">
        <v>1540</v>
      </c>
      <c r="H275" t="s">
        <v>1550</v>
      </c>
      <c r="I275">
        <v>2023</v>
      </c>
      <c r="J275" t="s">
        <v>1553</v>
      </c>
      <c r="K275" t="s">
        <v>1557</v>
      </c>
      <c r="L275">
        <v>1484009</v>
      </c>
      <c r="M275">
        <v>1431078</v>
      </c>
      <c r="N275">
        <v>52931</v>
      </c>
      <c r="O275">
        <v>59</v>
      </c>
      <c r="P275" t="str">
        <f t="shared" si="9"/>
        <v>senior</v>
      </c>
      <c r="Q275" t="s">
        <v>1558</v>
      </c>
      <c r="R275" t="s">
        <v>1561</v>
      </c>
      <c r="S275" t="s">
        <v>1568</v>
      </c>
      <c r="T275">
        <v>1953392</v>
      </c>
      <c r="U275">
        <v>4</v>
      </c>
      <c r="V275" t="s">
        <v>1582</v>
      </c>
      <c r="W275" t="s">
        <v>1592</v>
      </c>
      <c r="X275">
        <v>3.57</v>
      </c>
    </row>
    <row r="276" spans="1:24" x14ac:dyDescent="0.25">
      <c r="A276" t="s">
        <v>296</v>
      </c>
      <c r="B276" s="4">
        <v>46244</v>
      </c>
      <c r="C276" s="4" t="str">
        <f t="shared" si="8"/>
        <v>Aug</v>
      </c>
      <c r="D276" t="s">
        <v>1522</v>
      </c>
      <c r="E276" t="s">
        <v>1525</v>
      </c>
      <c r="F276" t="s">
        <v>1529</v>
      </c>
      <c r="G276" t="s">
        <v>1538</v>
      </c>
      <c r="H276" t="s">
        <v>1551</v>
      </c>
      <c r="I276">
        <v>2025</v>
      </c>
      <c r="J276" t="s">
        <v>1554</v>
      </c>
      <c r="K276" t="s">
        <v>1556</v>
      </c>
      <c r="L276">
        <v>902592</v>
      </c>
      <c r="M276">
        <v>864232</v>
      </c>
      <c r="N276">
        <v>38360</v>
      </c>
      <c r="O276">
        <v>27</v>
      </c>
      <c r="P276" t="str">
        <f t="shared" si="9"/>
        <v>young</v>
      </c>
      <c r="Q276" t="s">
        <v>1559</v>
      </c>
      <c r="R276" t="s">
        <v>1566</v>
      </c>
      <c r="S276" t="s">
        <v>1567</v>
      </c>
      <c r="T276">
        <v>1403254</v>
      </c>
      <c r="U276">
        <v>1</v>
      </c>
      <c r="V276" t="s">
        <v>1576</v>
      </c>
      <c r="W276" t="s">
        <v>1594</v>
      </c>
      <c r="X276">
        <v>4.25</v>
      </c>
    </row>
    <row r="277" spans="1:24" x14ac:dyDescent="0.25">
      <c r="A277" t="s">
        <v>297</v>
      </c>
      <c r="B277" s="4">
        <v>46001</v>
      </c>
      <c r="C277" s="4" t="str">
        <f t="shared" si="8"/>
        <v>Dec</v>
      </c>
      <c r="D277" t="s">
        <v>1522</v>
      </c>
      <c r="E277" t="s">
        <v>1525</v>
      </c>
      <c r="F277" t="s">
        <v>1536</v>
      </c>
      <c r="G277" t="s">
        <v>1544</v>
      </c>
      <c r="H277" t="s">
        <v>1551</v>
      </c>
      <c r="I277">
        <v>2023</v>
      </c>
      <c r="J277" t="s">
        <v>1554</v>
      </c>
      <c r="K277" t="s">
        <v>1557</v>
      </c>
      <c r="L277">
        <v>787965</v>
      </c>
      <c r="M277">
        <v>708806</v>
      </c>
      <c r="N277">
        <v>79159</v>
      </c>
      <c r="O277">
        <v>40</v>
      </c>
      <c r="P277" t="str">
        <f t="shared" si="9"/>
        <v>adult</v>
      </c>
      <c r="Q277" t="s">
        <v>1558</v>
      </c>
      <c r="R277" t="s">
        <v>1566</v>
      </c>
      <c r="S277" t="s">
        <v>1569</v>
      </c>
      <c r="T277">
        <v>743382</v>
      </c>
      <c r="U277">
        <v>2</v>
      </c>
      <c r="V277" t="s">
        <v>1575</v>
      </c>
      <c r="W277" t="s">
        <v>1593</v>
      </c>
      <c r="X277">
        <v>10.050000000000001</v>
      </c>
    </row>
    <row r="278" spans="1:24" x14ac:dyDescent="0.25">
      <c r="A278" t="s">
        <v>298</v>
      </c>
      <c r="B278" s="4">
        <v>46206</v>
      </c>
      <c r="C278" s="4" t="str">
        <f t="shared" si="8"/>
        <v>Jul</v>
      </c>
      <c r="D278" t="s">
        <v>1522</v>
      </c>
      <c r="E278" t="s">
        <v>1525</v>
      </c>
      <c r="F278" t="s">
        <v>1534</v>
      </c>
      <c r="G278" t="s">
        <v>1546</v>
      </c>
      <c r="H278" t="s">
        <v>4</v>
      </c>
      <c r="I278">
        <v>2025</v>
      </c>
      <c r="J278" t="s">
        <v>1554</v>
      </c>
      <c r="K278" t="s">
        <v>1556</v>
      </c>
      <c r="L278">
        <v>1311502</v>
      </c>
      <c r="M278">
        <v>1202748</v>
      </c>
      <c r="N278">
        <v>108754</v>
      </c>
      <c r="O278">
        <v>23</v>
      </c>
      <c r="P278" t="str">
        <f t="shared" si="9"/>
        <v>young</v>
      </c>
      <c r="Q278" t="s">
        <v>1559</v>
      </c>
      <c r="R278" t="s">
        <v>1564</v>
      </c>
      <c r="S278" t="s">
        <v>1568</v>
      </c>
      <c r="T278">
        <v>1868498</v>
      </c>
      <c r="U278">
        <v>3</v>
      </c>
      <c r="V278" t="s">
        <v>1587</v>
      </c>
      <c r="W278" t="s">
        <v>1594</v>
      </c>
      <c r="X278">
        <v>8.2899999999999991</v>
      </c>
    </row>
    <row r="279" spans="1:24" x14ac:dyDescent="0.25">
      <c r="A279" t="s">
        <v>299</v>
      </c>
      <c r="B279" s="4">
        <v>45823</v>
      </c>
      <c r="C279" s="4" t="str">
        <f t="shared" si="8"/>
        <v>Jun</v>
      </c>
      <c r="D279" t="s">
        <v>1522</v>
      </c>
      <c r="E279" t="s">
        <v>1525</v>
      </c>
      <c r="F279" t="s">
        <v>1532</v>
      </c>
      <c r="G279" t="s">
        <v>1544</v>
      </c>
      <c r="H279" t="s">
        <v>4</v>
      </c>
      <c r="I279">
        <v>2026</v>
      </c>
      <c r="J279" t="s">
        <v>1554</v>
      </c>
      <c r="K279" t="s">
        <v>1556</v>
      </c>
      <c r="L279">
        <v>1443670</v>
      </c>
      <c r="M279">
        <v>1346714</v>
      </c>
      <c r="N279">
        <v>96956</v>
      </c>
      <c r="O279">
        <v>24</v>
      </c>
      <c r="P279" t="str">
        <f t="shared" si="9"/>
        <v>young</v>
      </c>
      <c r="Q279" t="s">
        <v>1559</v>
      </c>
      <c r="R279" t="s">
        <v>1564</v>
      </c>
      <c r="S279" t="s">
        <v>1569</v>
      </c>
      <c r="T279">
        <v>1067804</v>
      </c>
      <c r="U279">
        <v>5</v>
      </c>
      <c r="V279" t="s">
        <v>1584</v>
      </c>
      <c r="W279" t="s">
        <v>1592</v>
      </c>
      <c r="X279">
        <v>6.72</v>
      </c>
    </row>
    <row r="280" spans="1:24" x14ac:dyDescent="0.25">
      <c r="A280" t="s">
        <v>300</v>
      </c>
      <c r="B280" s="4">
        <v>45925</v>
      </c>
      <c r="C280" s="4" t="str">
        <f t="shared" si="8"/>
        <v>Sep</v>
      </c>
      <c r="D280" t="s">
        <v>1522</v>
      </c>
      <c r="E280" t="s">
        <v>1527</v>
      </c>
      <c r="F280" t="s">
        <v>1531</v>
      </c>
      <c r="G280" t="s">
        <v>1540</v>
      </c>
      <c r="H280" t="s">
        <v>4</v>
      </c>
      <c r="I280">
        <v>2025</v>
      </c>
      <c r="J280" t="s">
        <v>1554</v>
      </c>
      <c r="K280" t="s">
        <v>1556</v>
      </c>
      <c r="L280">
        <v>1813358</v>
      </c>
      <c r="M280">
        <v>1508569</v>
      </c>
      <c r="N280">
        <v>304789</v>
      </c>
      <c r="O280">
        <v>58</v>
      </c>
      <c r="P280" t="str">
        <f t="shared" si="9"/>
        <v>senior</v>
      </c>
      <c r="Q280" t="s">
        <v>1558</v>
      </c>
      <c r="R280" t="s">
        <v>1561</v>
      </c>
      <c r="S280" t="s">
        <v>1569</v>
      </c>
      <c r="T280">
        <v>1870832</v>
      </c>
      <c r="U280">
        <v>3</v>
      </c>
      <c r="V280" t="s">
        <v>1577</v>
      </c>
      <c r="W280" t="s">
        <v>1594</v>
      </c>
      <c r="X280">
        <v>16.809999999999999</v>
      </c>
    </row>
    <row r="281" spans="1:24" x14ac:dyDescent="0.25">
      <c r="A281" t="s">
        <v>301</v>
      </c>
      <c r="B281" s="4">
        <v>45804</v>
      </c>
      <c r="C281" s="4" t="str">
        <f t="shared" si="8"/>
        <v>May</v>
      </c>
      <c r="D281" t="s">
        <v>1522</v>
      </c>
      <c r="E281" t="s">
        <v>1526</v>
      </c>
      <c r="F281" t="s">
        <v>1537</v>
      </c>
      <c r="G281" t="s">
        <v>1541</v>
      </c>
      <c r="H281" t="s">
        <v>1551</v>
      </c>
      <c r="I281">
        <v>2023</v>
      </c>
      <c r="J281" t="s">
        <v>1554</v>
      </c>
      <c r="K281" t="s">
        <v>1557</v>
      </c>
      <c r="L281">
        <v>779262</v>
      </c>
      <c r="M281">
        <v>682798</v>
      </c>
      <c r="N281">
        <v>96464</v>
      </c>
      <c r="O281">
        <v>26</v>
      </c>
      <c r="P281" t="str">
        <f t="shared" si="9"/>
        <v>young</v>
      </c>
      <c r="Q281" t="s">
        <v>1558</v>
      </c>
      <c r="R281" t="s">
        <v>1561</v>
      </c>
      <c r="S281" t="s">
        <v>1569</v>
      </c>
      <c r="T281">
        <v>236754</v>
      </c>
      <c r="U281">
        <v>5</v>
      </c>
      <c r="V281" t="s">
        <v>1572</v>
      </c>
      <c r="W281" t="s">
        <v>1592</v>
      </c>
      <c r="X281">
        <v>12.38</v>
      </c>
    </row>
    <row r="282" spans="1:24" x14ac:dyDescent="0.25">
      <c r="A282" t="s">
        <v>302</v>
      </c>
      <c r="B282" s="4">
        <v>45830</v>
      </c>
      <c r="C282" s="4" t="str">
        <f t="shared" si="8"/>
        <v>Jun</v>
      </c>
      <c r="D282" t="s">
        <v>1522</v>
      </c>
      <c r="E282" t="s">
        <v>1525</v>
      </c>
      <c r="F282" t="s">
        <v>1533</v>
      </c>
      <c r="G282" t="s">
        <v>1546</v>
      </c>
      <c r="H282" t="s">
        <v>1550</v>
      </c>
      <c r="I282">
        <v>2023</v>
      </c>
      <c r="J282" t="s">
        <v>1554</v>
      </c>
      <c r="K282" t="s">
        <v>1556</v>
      </c>
      <c r="L282">
        <v>1262323</v>
      </c>
      <c r="M282">
        <v>1089333</v>
      </c>
      <c r="N282">
        <v>172990</v>
      </c>
      <c r="O282">
        <v>40</v>
      </c>
      <c r="P282" t="str">
        <f t="shared" si="9"/>
        <v>adult</v>
      </c>
      <c r="Q282" t="s">
        <v>1560</v>
      </c>
      <c r="R282" t="s">
        <v>1562</v>
      </c>
      <c r="S282" t="s">
        <v>1567</v>
      </c>
      <c r="T282">
        <v>2056583</v>
      </c>
      <c r="U282">
        <v>1</v>
      </c>
      <c r="V282" t="s">
        <v>1584</v>
      </c>
      <c r="W282" t="s">
        <v>1592</v>
      </c>
      <c r="X282">
        <v>13.7</v>
      </c>
    </row>
    <row r="283" spans="1:24" x14ac:dyDescent="0.25">
      <c r="A283" t="s">
        <v>303</v>
      </c>
      <c r="B283" s="4">
        <v>46179</v>
      </c>
      <c r="C283" s="4" t="str">
        <f t="shared" si="8"/>
        <v>Jun</v>
      </c>
      <c r="D283" t="s">
        <v>1522</v>
      </c>
      <c r="E283" t="s">
        <v>1525</v>
      </c>
      <c r="F283" t="s">
        <v>1537</v>
      </c>
      <c r="G283" t="s">
        <v>1545</v>
      </c>
      <c r="H283" t="s">
        <v>4</v>
      </c>
      <c r="I283">
        <v>2024</v>
      </c>
      <c r="J283" t="s">
        <v>1554</v>
      </c>
      <c r="K283" t="s">
        <v>1556</v>
      </c>
      <c r="L283">
        <v>1563115</v>
      </c>
      <c r="M283">
        <v>1398406</v>
      </c>
      <c r="N283">
        <v>164709</v>
      </c>
      <c r="O283">
        <v>43</v>
      </c>
      <c r="P283" t="str">
        <f t="shared" si="9"/>
        <v>adult</v>
      </c>
      <c r="Q283" t="s">
        <v>1559</v>
      </c>
      <c r="R283" t="s">
        <v>1563</v>
      </c>
      <c r="S283" t="s">
        <v>1569</v>
      </c>
      <c r="T283">
        <v>122095</v>
      </c>
      <c r="U283">
        <v>1</v>
      </c>
      <c r="V283" t="s">
        <v>1582</v>
      </c>
      <c r="W283" t="s">
        <v>1592</v>
      </c>
      <c r="X283">
        <v>10.54</v>
      </c>
    </row>
    <row r="284" spans="1:24" x14ac:dyDescent="0.25">
      <c r="A284" t="s">
        <v>304</v>
      </c>
      <c r="B284" s="4">
        <v>45895</v>
      </c>
      <c r="C284" s="4" t="str">
        <f t="shared" si="8"/>
        <v>Aug</v>
      </c>
      <c r="D284" t="s">
        <v>1522</v>
      </c>
      <c r="E284" t="s">
        <v>1526</v>
      </c>
      <c r="F284" t="s">
        <v>1537</v>
      </c>
      <c r="G284" t="s">
        <v>1540</v>
      </c>
      <c r="H284" t="s">
        <v>4</v>
      </c>
      <c r="I284">
        <v>2024</v>
      </c>
      <c r="J284" t="s">
        <v>1554</v>
      </c>
      <c r="K284" t="s">
        <v>1557</v>
      </c>
      <c r="L284">
        <v>1587358</v>
      </c>
      <c r="M284">
        <v>1289894</v>
      </c>
      <c r="N284">
        <v>297464</v>
      </c>
      <c r="O284">
        <v>60</v>
      </c>
      <c r="P284" t="str">
        <f t="shared" si="9"/>
        <v>senior</v>
      </c>
      <c r="Q284" t="s">
        <v>1558</v>
      </c>
      <c r="R284" t="s">
        <v>1561</v>
      </c>
      <c r="S284" t="s">
        <v>1567</v>
      </c>
      <c r="T284">
        <v>1392582</v>
      </c>
      <c r="U284">
        <v>1</v>
      </c>
      <c r="V284" t="s">
        <v>1585</v>
      </c>
      <c r="W284" t="s">
        <v>1594</v>
      </c>
      <c r="X284">
        <v>18.739999999999998</v>
      </c>
    </row>
    <row r="285" spans="1:24" x14ac:dyDescent="0.25">
      <c r="A285" t="s">
        <v>305</v>
      </c>
      <c r="B285" s="4">
        <v>45839</v>
      </c>
      <c r="C285" s="4" t="str">
        <f t="shared" si="8"/>
        <v>Jul</v>
      </c>
      <c r="D285" t="s">
        <v>1522</v>
      </c>
      <c r="E285" t="s">
        <v>1527</v>
      </c>
      <c r="F285" t="s">
        <v>1536</v>
      </c>
      <c r="G285" t="s">
        <v>1541</v>
      </c>
      <c r="H285" t="s">
        <v>1550</v>
      </c>
      <c r="I285">
        <v>2023</v>
      </c>
      <c r="J285" t="s">
        <v>1554</v>
      </c>
      <c r="K285" t="s">
        <v>1557</v>
      </c>
      <c r="L285">
        <v>1343183</v>
      </c>
      <c r="M285">
        <v>1141034</v>
      </c>
      <c r="N285">
        <v>202149</v>
      </c>
      <c r="O285">
        <v>21</v>
      </c>
      <c r="P285" t="str">
        <f t="shared" si="9"/>
        <v>young</v>
      </c>
      <c r="Q285" t="s">
        <v>1558</v>
      </c>
      <c r="R285" t="s">
        <v>1564</v>
      </c>
      <c r="S285" t="s">
        <v>1567</v>
      </c>
      <c r="T285">
        <v>1821418</v>
      </c>
      <c r="U285">
        <v>4</v>
      </c>
      <c r="V285" t="s">
        <v>1579</v>
      </c>
      <c r="W285" t="s">
        <v>1594</v>
      </c>
      <c r="X285">
        <v>15.05</v>
      </c>
    </row>
    <row r="286" spans="1:24" x14ac:dyDescent="0.25">
      <c r="A286" t="s">
        <v>306</v>
      </c>
      <c r="B286" s="4">
        <v>46213</v>
      </c>
      <c r="C286" s="4" t="str">
        <f t="shared" si="8"/>
        <v>Jul</v>
      </c>
      <c r="D286" t="s">
        <v>1522</v>
      </c>
      <c r="E286" t="s">
        <v>1527</v>
      </c>
      <c r="F286" t="s">
        <v>1530</v>
      </c>
      <c r="G286" t="s">
        <v>1544</v>
      </c>
      <c r="H286" t="s">
        <v>1550</v>
      </c>
      <c r="I286">
        <v>2022</v>
      </c>
      <c r="J286" t="s">
        <v>1554</v>
      </c>
      <c r="K286" t="s">
        <v>1556</v>
      </c>
      <c r="L286">
        <v>1510019</v>
      </c>
      <c r="M286">
        <v>1247027</v>
      </c>
      <c r="N286">
        <v>262992</v>
      </c>
      <c r="O286">
        <v>37</v>
      </c>
      <c r="P286" t="str">
        <f t="shared" si="9"/>
        <v>adult</v>
      </c>
      <c r="Q286" t="s">
        <v>1560</v>
      </c>
      <c r="R286" t="s">
        <v>1562</v>
      </c>
      <c r="S286" t="s">
        <v>1567</v>
      </c>
      <c r="T286">
        <v>1175558</v>
      </c>
      <c r="U286">
        <v>2</v>
      </c>
      <c r="V286" t="s">
        <v>1587</v>
      </c>
      <c r="W286" t="s">
        <v>1594</v>
      </c>
      <c r="X286">
        <v>17.420000000000002</v>
      </c>
    </row>
    <row r="287" spans="1:24" x14ac:dyDescent="0.25">
      <c r="A287" t="s">
        <v>307</v>
      </c>
      <c r="B287" s="4">
        <v>46191</v>
      </c>
      <c r="C287" s="4" t="str">
        <f t="shared" si="8"/>
        <v>Jun</v>
      </c>
      <c r="D287" t="s">
        <v>1522</v>
      </c>
      <c r="E287" t="s">
        <v>1525</v>
      </c>
      <c r="F287" t="s">
        <v>1533</v>
      </c>
      <c r="G287" t="s">
        <v>1540</v>
      </c>
      <c r="H287" t="s">
        <v>1550</v>
      </c>
      <c r="I287">
        <v>2025</v>
      </c>
      <c r="J287" t="s">
        <v>1554</v>
      </c>
      <c r="K287" t="s">
        <v>1557</v>
      </c>
      <c r="L287">
        <v>1657893</v>
      </c>
      <c r="M287">
        <v>1463509</v>
      </c>
      <c r="N287">
        <v>194384</v>
      </c>
      <c r="O287">
        <v>28</v>
      </c>
      <c r="P287" t="str">
        <f t="shared" si="9"/>
        <v>young</v>
      </c>
      <c r="Q287" t="s">
        <v>1558</v>
      </c>
      <c r="R287" t="s">
        <v>1562</v>
      </c>
      <c r="S287" t="s">
        <v>1570</v>
      </c>
      <c r="T287">
        <v>871460</v>
      </c>
      <c r="U287">
        <v>3</v>
      </c>
      <c r="V287" t="s">
        <v>1582</v>
      </c>
      <c r="W287" t="s">
        <v>1592</v>
      </c>
      <c r="X287">
        <v>11.72</v>
      </c>
    </row>
    <row r="288" spans="1:24" x14ac:dyDescent="0.25">
      <c r="A288" t="s">
        <v>308</v>
      </c>
      <c r="B288" s="4">
        <v>46077</v>
      </c>
      <c r="C288" s="4" t="str">
        <f t="shared" si="8"/>
        <v>Feb</v>
      </c>
      <c r="D288" t="s">
        <v>1522</v>
      </c>
      <c r="E288" t="s">
        <v>1527</v>
      </c>
      <c r="F288" t="s">
        <v>1536</v>
      </c>
      <c r="G288" t="s">
        <v>1538</v>
      </c>
      <c r="H288" t="s">
        <v>1550</v>
      </c>
      <c r="I288">
        <v>2025</v>
      </c>
      <c r="J288" t="s">
        <v>1554</v>
      </c>
      <c r="K288" t="s">
        <v>1557</v>
      </c>
      <c r="L288">
        <v>1575361</v>
      </c>
      <c r="M288">
        <v>1337332</v>
      </c>
      <c r="N288">
        <v>238029</v>
      </c>
      <c r="O288">
        <v>31</v>
      </c>
      <c r="P288" t="str">
        <f t="shared" si="9"/>
        <v>adult</v>
      </c>
      <c r="Q288" t="s">
        <v>1558</v>
      </c>
      <c r="R288" t="s">
        <v>1565</v>
      </c>
      <c r="S288" t="s">
        <v>1567</v>
      </c>
      <c r="T288">
        <v>987972</v>
      </c>
      <c r="U288">
        <v>5</v>
      </c>
      <c r="V288" t="s">
        <v>1589</v>
      </c>
      <c r="W288" t="s">
        <v>1591</v>
      </c>
      <c r="X288">
        <v>15.11</v>
      </c>
    </row>
    <row r="289" spans="1:24" x14ac:dyDescent="0.25">
      <c r="A289" t="s">
        <v>309</v>
      </c>
      <c r="B289" s="4">
        <v>45901</v>
      </c>
      <c r="C289" s="4" t="str">
        <f t="shared" si="8"/>
        <v>Sep</v>
      </c>
      <c r="D289" t="s">
        <v>1522</v>
      </c>
      <c r="E289" t="s">
        <v>1523</v>
      </c>
      <c r="F289" t="s">
        <v>1529</v>
      </c>
      <c r="G289" t="s">
        <v>1539</v>
      </c>
      <c r="H289" t="s">
        <v>1552</v>
      </c>
      <c r="I289">
        <v>2025</v>
      </c>
      <c r="J289" t="s">
        <v>1555</v>
      </c>
      <c r="K289" t="s">
        <v>1556</v>
      </c>
      <c r="L289">
        <v>1984941</v>
      </c>
      <c r="M289">
        <v>1830251</v>
      </c>
      <c r="N289">
        <v>154690</v>
      </c>
      <c r="O289">
        <v>25</v>
      </c>
      <c r="P289" t="str">
        <f t="shared" si="9"/>
        <v>young</v>
      </c>
      <c r="Q289" t="s">
        <v>1558</v>
      </c>
      <c r="R289" t="s">
        <v>1566</v>
      </c>
      <c r="S289" t="s">
        <v>1569</v>
      </c>
      <c r="T289">
        <v>342635</v>
      </c>
      <c r="U289">
        <v>4</v>
      </c>
      <c r="V289" t="s">
        <v>1577</v>
      </c>
      <c r="W289" t="s">
        <v>1594</v>
      </c>
      <c r="X289">
        <v>7.79</v>
      </c>
    </row>
    <row r="290" spans="1:24" x14ac:dyDescent="0.25">
      <c r="A290" t="s">
        <v>310</v>
      </c>
      <c r="B290" s="4">
        <v>45892</v>
      </c>
      <c r="C290" s="4" t="str">
        <f t="shared" si="8"/>
        <v>Aug</v>
      </c>
      <c r="D290" t="s">
        <v>1522</v>
      </c>
      <c r="E290" t="s">
        <v>1524</v>
      </c>
      <c r="F290" t="s">
        <v>1536</v>
      </c>
      <c r="G290" t="s">
        <v>1546</v>
      </c>
      <c r="H290" t="s">
        <v>1551</v>
      </c>
      <c r="I290">
        <v>2024</v>
      </c>
      <c r="J290" t="s">
        <v>1554</v>
      </c>
      <c r="K290" t="s">
        <v>1557</v>
      </c>
      <c r="L290">
        <v>1067830</v>
      </c>
      <c r="M290">
        <v>865333</v>
      </c>
      <c r="N290">
        <v>202497</v>
      </c>
      <c r="O290">
        <v>23</v>
      </c>
      <c r="P290" t="str">
        <f t="shared" si="9"/>
        <v>young</v>
      </c>
      <c r="Q290" t="s">
        <v>1559</v>
      </c>
      <c r="R290" t="s">
        <v>1565</v>
      </c>
      <c r="S290" t="s">
        <v>1567</v>
      </c>
      <c r="T290">
        <v>653666</v>
      </c>
      <c r="U290">
        <v>1</v>
      </c>
      <c r="V290" t="s">
        <v>1585</v>
      </c>
      <c r="W290" t="s">
        <v>1594</v>
      </c>
      <c r="X290">
        <v>18.96</v>
      </c>
    </row>
    <row r="291" spans="1:24" x14ac:dyDescent="0.25">
      <c r="A291" t="s">
        <v>311</v>
      </c>
      <c r="B291" s="4">
        <v>46000</v>
      </c>
      <c r="C291" s="4" t="str">
        <f t="shared" si="8"/>
        <v>Dec</v>
      </c>
      <c r="D291" t="s">
        <v>1522</v>
      </c>
      <c r="E291" t="s">
        <v>1527</v>
      </c>
      <c r="F291" t="s">
        <v>1531</v>
      </c>
      <c r="G291" t="s">
        <v>1549</v>
      </c>
      <c r="H291" t="s">
        <v>1550</v>
      </c>
      <c r="I291">
        <v>2023</v>
      </c>
      <c r="J291" t="s">
        <v>1554</v>
      </c>
      <c r="K291" t="s">
        <v>1556</v>
      </c>
      <c r="L291">
        <v>1144839</v>
      </c>
      <c r="M291">
        <v>1047197</v>
      </c>
      <c r="N291">
        <v>97642</v>
      </c>
      <c r="O291">
        <v>36</v>
      </c>
      <c r="P291" t="str">
        <f t="shared" si="9"/>
        <v>adult</v>
      </c>
      <c r="Q291" t="s">
        <v>1558</v>
      </c>
      <c r="R291" t="s">
        <v>1564</v>
      </c>
      <c r="S291" t="s">
        <v>1567</v>
      </c>
      <c r="T291">
        <v>1725129</v>
      </c>
      <c r="U291">
        <v>5</v>
      </c>
      <c r="V291" t="s">
        <v>1575</v>
      </c>
      <c r="W291" t="s">
        <v>1593</v>
      </c>
      <c r="X291">
        <v>8.5299999999999994</v>
      </c>
    </row>
    <row r="292" spans="1:24" x14ac:dyDescent="0.25">
      <c r="A292" t="s">
        <v>312</v>
      </c>
      <c r="B292" s="4">
        <v>45811</v>
      </c>
      <c r="C292" s="4" t="str">
        <f t="shared" si="8"/>
        <v>Jun</v>
      </c>
      <c r="D292" t="s">
        <v>1522</v>
      </c>
      <c r="E292" t="s">
        <v>1525</v>
      </c>
      <c r="F292" t="s">
        <v>1532</v>
      </c>
      <c r="G292" t="s">
        <v>1548</v>
      </c>
      <c r="H292" t="s">
        <v>1551</v>
      </c>
      <c r="I292">
        <v>2025</v>
      </c>
      <c r="J292" t="s">
        <v>1554</v>
      </c>
      <c r="K292" t="s">
        <v>1556</v>
      </c>
      <c r="L292">
        <v>800951</v>
      </c>
      <c r="M292">
        <v>704210</v>
      </c>
      <c r="N292">
        <v>96741</v>
      </c>
      <c r="O292">
        <v>43</v>
      </c>
      <c r="P292" t="str">
        <f t="shared" si="9"/>
        <v>adult</v>
      </c>
      <c r="Q292" t="s">
        <v>1558</v>
      </c>
      <c r="R292" t="s">
        <v>1563</v>
      </c>
      <c r="S292" t="s">
        <v>1568</v>
      </c>
      <c r="T292">
        <v>1617019</v>
      </c>
      <c r="U292">
        <v>1</v>
      </c>
      <c r="V292" t="s">
        <v>1584</v>
      </c>
      <c r="W292" t="s">
        <v>1592</v>
      </c>
      <c r="X292">
        <v>12.08</v>
      </c>
    </row>
    <row r="293" spans="1:24" x14ac:dyDescent="0.25">
      <c r="A293" t="s">
        <v>313</v>
      </c>
      <c r="B293" s="4">
        <v>45991</v>
      </c>
      <c r="C293" s="4" t="str">
        <f t="shared" si="8"/>
        <v>Nov</v>
      </c>
      <c r="D293" t="s">
        <v>1522</v>
      </c>
      <c r="E293" t="s">
        <v>1527</v>
      </c>
      <c r="F293" t="s">
        <v>1532</v>
      </c>
      <c r="G293" t="s">
        <v>1540</v>
      </c>
      <c r="H293" t="s">
        <v>4</v>
      </c>
      <c r="I293">
        <v>2024</v>
      </c>
      <c r="J293" t="s">
        <v>1554</v>
      </c>
      <c r="K293" t="s">
        <v>1557</v>
      </c>
      <c r="L293">
        <v>1316688</v>
      </c>
      <c r="M293">
        <v>1100405</v>
      </c>
      <c r="N293">
        <v>216283</v>
      </c>
      <c r="O293">
        <v>50</v>
      </c>
      <c r="P293" t="str">
        <f t="shared" si="9"/>
        <v>adult</v>
      </c>
      <c r="Q293" t="s">
        <v>1558</v>
      </c>
      <c r="R293" t="s">
        <v>1562</v>
      </c>
      <c r="S293" t="s">
        <v>1567</v>
      </c>
      <c r="T293">
        <v>1292122</v>
      </c>
      <c r="U293">
        <v>1</v>
      </c>
      <c r="V293" t="s">
        <v>1583</v>
      </c>
      <c r="W293" t="s">
        <v>1593</v>
      </c>
      <c r="X293">
        <v>16.43</v>
      </c>
    </row>
    <row r="294" spans="1:24" x14ac:dyDescent="0.25">
      <c r="A294" t="s">
        <v>314</v>
      </c>
      <c r="B294" s="4">
        <v>46082</v>
      </c>
      <c r="C294" s="4" t="str">
        <f t="shared" si="8"/>
        <v>Mar</v>
      </c>
      <c r="D294" t="s">
        <v>1522</v>
      </c>
      <c r="E294" t="s">
        <v>1524</v>
      </c>
      <c r="F294" t="s">
        <v>1530</v>
      </c>
      <c r="G294" t="s">
        <v>1545</v>
      </c>
      <c r="H294" t="s">
        <v>1552</v>
      </c>
      <c r="I294">
        <v>2024</v>
      </c>
      <c r="J294" t="s">
        <v>1555</v>
      </c>
      <c r="K294" t="s">
        <v>1556</v>
      </c>
      <c r="L294">
        <v>1891247</v>
      </c>
      <c r="M294">
        <v>1601935</v>
      </c>
      <c r="N294">
        <v>289312</v>
      </c>
      <c r="O294">
        <v>55</v>
      </c>
      <c r="P294" t="str">
        <f t="shared" si="9"/>
        <v>senior</v>
      </c>
      <c r="Q294" t="s">
        <v>1558</v>
      </c>
      <c r="R294" t="s">
        <v>1562</v>
      </c>
      <c r="S294" t="s">
        <v>1569</v>
      </c>
      <c r="T294">
        <v>369406</v>
      </c>
      <c r="U294">
        <v>4</v>
      </c>
      <c r="V294" t="s">
        <v>1586</v>
      </c>
      <c r="W294" t="s">
        <v>1591</v>
      </c>
      <c r="X294">
        <v>15.3</v>
      </c>
    </row>
    <row r="295" spans="1:24" x14ac:dyDescent="0.25">
      <c r="A295" t="s">
        <v>315</v>
      </c>
      <c r="B295" s="4">
        <v>46133</v>
      </c>
      <c r="C295" s="4" t="str">
        <f t="shared" si="8"/>
        <v>Apr</v>
      </c>
      <c r="D295" t="s">
        <v>1522</v>
      </c>
      <c r="E295" t="s">
        <v>1523</v>
      </c>
      <c r="F295" t="s">
        <v>1528</v>
      </c>
      <c r="G295" t="s">
        <v>1545</v>
      </c>
      <c r="H295" t="s">
        <v>1551</v>
      </c>
      <c r="I295">
        <v>2026</v>
      </c>
      <c r="J295" t="s">
        <v>1554</v>
      </c>
      <c r="K295" t="s">
        <v>1557</v>
      </c>
      <c r="L295">
        <v>1011684</v>
      </c>
      <c r="M295">
        <v>931401</v>
      </c>
      <c r="N295">
        <v>80283</v>
      </c>
      <c r="O295">
        <v>26</v>
      </c>
      <c r="P295" t="str">
        <f t="shared" si="9"/>
        <v>young</v>
      </c>
      <c r="Q295" t="s">
        <v>1558</v>
      </c>
      <c r="R295" t="s">
        <v>1562</v>
      </c>
      <c r="S295" t="s">
        <v>1568</v>
      </c>
      <c r="T295">
        <v>1701007</v>
      </c>
      <c r="U295">
        <v>2</v>
      </c>
      <c r="V295" t="s">
        <v>1580</v>
      </c>
      <c r="W295" t="s">
        <v>1592</v>
      </c>
      <c r="X295">
        <v>7.94</v>
      </c>
    </row>
    <row r="296" spans="1:24" x14ac:dyDescent="0.25">
      <c r="A296" t="s">
        <v>316</v>
      </c>
      <c r="B296" s="4">
        <v>45725</v>
      </c>
      <c r="C296" s="4" t="str">
        <f t="shared" si="8"/>
        <v>Mar</v>
      </c>
      <c r="D296" t="s">
        <v>1522</v>
      </c>
      <c r="E296" t="s">
        <v>1524</v>
      </c>
      <c r="F296" t="s">
        <v>1531</v>
      </c>
      <c r="G296" t="s">
        <v>1542</v>
      </c>
      <c r="H296" t="s">
        <v>1550</v>
      </c>
      <c r="I296">
        <v>2026</v>
      </c>
      <c r="J296" t="s">
        <v>1554</v>
      </c>
      <c r="K296" t="s">
        <v>1557</v>
      </c>
      <c r="L296">
        <v>1702257</v>
      </c>
      <c r="M296">
        <v>1519893</v>
      </c>
      <c r="N296">
        <v>182364</v>
      </c>
      <c r="O296">
        <v>37</v>
      </c>
      <c r="P296" t="str">
        <f t="shared" si="9"/>
        <v>adult</v>
      </c>
      <c r="Q296" t="s">
        <v>1559</v>
      </c>
      <c r="R296" t="s">
        <v>1565</v>
      </c>
      <c r="S296" t="s">
        <v>1568</v>
      </c>
      <c r="T296">
        <v>1216958</v>
      </c>
      <c r="U296">
        <v>2</v>
      </c>
      <c r="V296" t="s">
        <v>1588</v>
      </c>
      <c r="W296" t="s">
        <v>1591</v>
      </c>
      <c r="X296">
        <v>10.71</v>
      </c>
    </row>
    <row r="297" spans="1:24" x14ac:dyDescent="0.25">
      <c r="A297" t="s">
        <v>317</v>
      </c>
      <c r="B297" s="4">
        <v>46106</v>
      </c>
      <c r="C297" s="4" t="str">
        <f t="shared" si="8"/>
        <v>Mar</v>
      </c>
      <c r="D297" t="s">
        <v>1522</v>
      </c>
      <c r="E297" t="s">
        <v>1526</v>
      </c>
      <c r="F297" t="s">
        <v>1530</v>
      </c>
      <c r="G297" t="s">
        <v>1545</v>
      </c>
      <c r="H297" t="s">
        <v>1551</v>
      </c>
      <c r="I297">
        <v>2025</v>
      </c>
      <c r="J297" t="s">
        <v>1554</v>
      </c>
      <c r="K297" t="s">
        <v>1556</v>
      </c>
      <c r="L297">
        <v>864693</v>
      </c>
      <c r="M297">
        <v>783144</v>
      </c>
      <c r="N297">
        <v>81549</v>
      </c>
      <c r="O297">
        <v>47</v>
      </c>
      <c r="P297" t="str">
        <f t="shared" si="9"/>
        <v>adult</v>
      </c>
      <c r="Q297" t="s">
        <v>1558</v>
      </c>
      <c r="R297" t="s">
        <v>1563</v>
      </c>
      <c r="S297" t="s">
        <v>1570</v>
      </c>
      <c r="T297">
        <v>1049025</v>
      </c>
      <c r="U297">
        <v>3</v>
      </c>
      <c r="V297" t="s">
        <v>1586</v>
      </c>
      <c r="W297" t="s">
        <v>1591</v>
      </c>
      <c r="X297">
        <v>9.43</v>
      </c>
    </row>
    <row r="298" spans="1:24" x14ac:dyDescent="0.25">
      <c r="A298" t="s">
        <v>318</v>
      </c>
      <c r="B298" s="4">
        <v>45846</v>
      </c>
      <c r="C298" s="4" t="str">
        <f t="shared" si="8"/>
        <v>Jul</v>
      </c>
      <c r="D298" t="s">
        <v>1522</v>
      </c>
      <c r="E298" t="s">
        <v>1526</v>
      </c>
      <c r="F298" t="s">
        <v>1536</v>
      </c>
      <c r="G298" t="s">
        <v>1542</v>
      </c>
      <c r="H298" t="s">
        <v>4</v>
      </c>
      <c r="I298">
        <v>2026</v>
      </c>
      <c r="J298" t="s">
        <v>1554</v>
      </c>
      <c r="K298" t="s">
        <v>1557</v>
      </c>
      <c r="L298">
        <v>1832005</v>
      </c>
      <c r="M298">
        <v>1590412</v>
      </c>
      <c r="N298">
        <v>241593</v>
      </c>
      <c r="O298">
        <v>62</v>
      </c>
      <c r="P298" t="str">
        <f t="shared" si="9"/>
        <v>senior</v>
      </c>
      <c r="Q298" t="s">
        <v>1559</v>
      </c>
      <c r="R298" t="s">
        <v>1563</v>
      </c>
      <c r="S298" t="s">
        <v>1569</v>
      </c>
      <c r="T298">
        <v>1178213</v>
      </c>
      <c r="U298">
        <v>4</v>
      </c>
      <c r="V298" t="s">
        <v>1579</v>
      </c>
      <c r="W298" t="s">
        <v>1594</v>
      </c>
      <c r="X298">
        <v>13.19</v>
      </c>
    </row>
    <row r="299" spans="1:24" x14ac:dyDescent="0.25">
      <c r="A299" t="s">
        <v>319</v>
      </c>
      <c r="B299" s="4">
        <v>46066</v>
      </c>
      <c r="C299" s="4" t="str">
        <f t="shared" si="8"/>
        <v>Feb</v>
      </c>
      <c r="D299" t="s">
        <v>1522</v>
      </c>
      <c r="E299" t="s">
        <v>1526</v>
      </c>
      <c r="F299" t="s">
        <v>1528</v>
      </c>
      <c r="G299" t="s">
        <v>1538</v>
      </c>
      <c r="H299" t="s">
        <v>4</v>
      </c>
      <c r="I299">
        <v>2025</v>
      </c>
      <c r="J299" t="s">
        <v>1554</v>
      </c>
      <c r="K299" t="s">
        <v>1556</v>
      </c>
      <c r="L299">
        <v>1721765</v>
      </c>
      <c r="M299">
        <v>1417174</v>
      </c>
      <c r="N299">
        <v>304591</v>
      </c>
      <c r="O299">
        <v>24</v>
      </c>
      <c r="P299" t="str">
        <f t="shared" si="9"/>
        <v>young</v>
      </c>
      <c r="Q299" t="s">
        <v>1558</v>
      </c>
      <c r="R299" t="s">
        <v>1564</v>
      </c>
      <c r="S299" t="s">
        <v>1568</v>
      </c>
      <c r="T299">
        <v>881605</v>
      </c>
      <c r="U299">
        <v>3</v>
      </c>
      <c r="V299" t="s">
        <v>1589</v>
      </c>
      <c r="W299" t="s">
        <v>1591</v>
      </c>
      <c r="X299">
        <v>17.690000000000001</v>
      </c>
    </row>
    <row r="300" spans="1:24" x14ac:dyDescent="0.25">
      <c r="A300" t="s">
        <v>320</v>
      </c>
      <c r="B300" s="4">
        <v>46003</v>
      </c>
      <c r="C300" s="4" t="str">
        <f t="shared" si="8"/>
        <v>Dec</v>
      </c>
      <c r="D300" t="s">
        <v>1522</v>
      </c>
      <c r="E300" t="s">
        <v>1525</v>
      </c>
      <c r="F300" t="s">
        <v>1532</v>
      </c>
      <c r="G300" t="s">
        <v>1541</v>
      </c>
      <c r="H300" t="s">
        <v>1551</v>
      </c>
      <c r="I300">
        <v>2024</v>
      </c>
      <c r="J300" t="s">
        <v>1554</v>
      </c>
      <c r="K300" t="s">
        <v>1556</v>
      </c>
      <c r="L300">
        <v>738107</v>
      </c>
      <c r="M300">
        <v>631609</v>
      </c>
      <c r="N300">
        <v>106498</v>
      </c>
      <c r="O300">
        <v>54</v>
      </c>
      <c r="P300" t="str">
        <f t="shared" si="9"/>
        <v>senior</v>
      </c>
      <c r="Q300" t="s">
        <v>1558</v>
      </c>
      <c r="R300" t="s">
        <v>1566</v>
      </c>
      <c r="S300" t="s">
        <v>1569</v>
      </c>
      <c r="T300">
        <v>12742</v>
      </c>
      <c r="U300">
        <v>1</v>
      </c>
      <c r="V300" t="s">
        <v>1575</v>
      </c>
      <c r="W300" t="s">
        <v>1593</v>
      </c>
      <c r="X300">
        <v>14.43</v>
      </c>
    </row>
    <row r="301" spans="1:24" x14ac:dyDescent="0.25">
      <c r="A301" t="s">
        <v>321</v>
      </c>
      <c r="B301" s="4">
        <v>45804</v>
      </c>
      <c r="C301" s="4" t="str">
        <f t="shared" si="8"/>
        <v>May</v>
      </c>
      <c r="D301" t="s">
        <v>1522</v>
      </c>
      <c r="E301" t="s">
        <v>1525</v>
      </c>
      <c r="F301" t="s">
        <v>1536</v>
      </c>
      <c r="G301" t="s">
        <v>1543</v>
      </c>
      <c r="H301" t="s">
        <v>1550</v>
      </c>
      <c r="I301">
        <v>2026</v>
      </c>
      <c r="J301" t="s">
        <v>1554</v>
      </c>
      <c r="K301" t="s">
        <v>1556</v>
      </c>
      <c r="L301">
        <v>1217474</v>
      </c>
      <c r="M301">
        <v>1019674</v>
      </c>
      <c r="N301">
        <v>197800</v>
      </c>
      <c r="O301">
        <v>58</v>
      </c>
      <c r="P301" t="str">
        <f t="shared" si="9"/>
        <v>senior</v>
      </c>
      <c r="Q301" t="s">
        <v>1558</v>
      </c>
      <c r="R301" t="s">
        <v>1565</v>
      </c>
      <c r="S301" t="s">
        <v>1570</v>
      </c>
      <c r="T301">
        <v>1741161</v>
      </c>
      <c r="U301">
        <v>5</v>
      </c>
      <c r="V301" t="s">
        <v>1572</v>
      </c>
      <c r="W301" t="s">
        <v>1592</v>
      </c>
      <c r="X301">
        <v>16.25</v>
      </c>
    </row>
    <row r="302" spans="1:24" x14ac:dyDescent="0.25">
      <c r="A302" t="s">
        <v>322</v>
      </c>
      <c r="B302" s="4">
        <v>46244</v>
      </c>
      <c r="C302" s="4" t="str">
        <f t="shared" si="8"/>
        <v>Aug</v>
      </c>
      <c r="D302" t="s">
        <v>1522</v>
      </c>
      <c r="E302" t="s">
        <v>1525</v>
      </c>
      <c r="F302" t="s">
        <v>1528</v>
      </c>
      <c r="G302" t="s">
        <v>1541</v>
      </c>
      <c r="H302" t="s">
        <v>1550</v>
      </c>
      <c r="I302">
        <v>2025</v>
      </c>
      <c r="J302" t="s">
        <v>1554</v>
      </c>
      <c r="K302" t="s">
        <v>1557</v>
      </c>
      <c r="L302">
        <v>1237671</v>
      </c>
      <c r="M302">
        <v>1068268</v>
      </c>
      <c r="N302">
        <v>169403</v>
      </c>
      <c r="O302">
        <v>45</v>
      </c>
      <c r="P302" t="str">
        <f t="shared" si="9"/>
        <v>adult</v>
      </c>
      <c r="Q302" t="s">
        <v>1558</v>
      </c>
      <c r="R302" t="s">
        <v>1563</v>
      </c>
      <c r="S302" t="s">
        <v>1570</v>
      </c>
      <c r="T302">
        <v>246182</v>
      </c>
      <c r="U302">
        <v>5</v>
      </c>
      <c r="V302" t="s">
        <v>1576</v>
      </c>
      <c r="W302" t="s">
        <v>1594</v>
      </c>
      <c r="X302">
        <v>13.69</v>
      </c>
    </row>
    <row r="303" spans="1:24" x14ac:dyDescent="0.25">
      <c r="A303" t="s">
        <v>323</v>
      </c>
      <c r="B303" s="4">
        <v>45841</v>
      </c>
      <c r="C303" s="4" t="str">
        <f t="shared" si="8"/>
        <v>Jul</v>
      </c>
      <c r="D303" t="s">
        <v>1522</v>
      </c>
      <c r="E303" t="s">
        <v>1523</v>
      </c>
      <c r="F303" t="s">
        <v>1537</v>
      </c>
      <c r="G303" t="s">
        <v>1547</v>
      </c>
      <c r="H303" t="s">
        <v>4</v>
      </c>
      <c r="I303">
        <v>2023</v>
      </c>
      <c r="J303" t="s">
        <v>1554</v>
      </c>
      <c r="K303" t="s">
        <v>1557</v>
      </c>
      <c r="L303">
        <v>1789309</v>
      </c>
      <c r="M303">
        <v>1515178</v>
      </c>
      <c r="N303">
        <v>274131</v>
      </c>
      <c r="O303">
        <v>39</v>
      </c>
      <c r="P303" t="str">
        <f t="shared" si="9"/>
        <v>adult</v>
      </c>
      <c r="Q303" t="s">
        <v>1558</v>
      </c>
      <c r="R303" t="s">
        <v>1563</v>
      </c>
      <c r="S303" t="s">
        <v>1567</v>
      </c>
      <c r="T303">
        <v>1228866</v>
      </c>
      <c r="U303">
        <v>5</v>
      </c>
      <c r="V303" t="s">
        <v>1579</v>
      </c>
      <c r="W303" t="s">
        <v>1594</v>
      </c>
      <c r="X303">
        <v>15.32</v>
      </c>
    </row>
    <row r="304" spans="1:24" x14ac:dyDescent="0.25">
      <c r="A304" t="s">
        <v>324</v>
      </c>
      <c r="B304" s="4">
        <v>45770</v>
      </c>
      <c r="C304" s="4" t="str">
        <f t="shared" si="8"/>
        <v>Apr</v>
      </c>
      <c r="D304" t="s">
        <v>1522</v>
      </c>
      <c r="E304" t="s">
        <v>1527</v>
      </c>
      <c r="F304" t="s">
        <v>1536</v>
      </c>
      <c r="G304" t="s">
        <v>1545</v>
      </c>
      <c r="H304" t="s">
        <v>4</v>
      </c>
      <c r="I304">
        <v>2026</v>
      </c>
      <c r="J304" t="s">
        <v>1554</v>
      </c>
      <c r="K304" t="s">
        <v>1556</v>
      </c>
      <c r="L304">
        <v>1419602</v>
      </c>
      <c r="M304">
        <v>1274060</v>
      </c>
      <c r="N304">
        <v>145542</v>
      </c>
      <c r="O304">
        <v>63</v>
      </c>
      <c r="P304" t="str">
        <f t="shared" si="9"/>
        <v>senior</v>
      </c>
      <c r="Q304" t="s">
        <v>1559</v>
      </c>
      <c r="R304" t="s">
        <v>1563</v>
      </c>
      <c r="S304" t="s">
        <v>1568</v>
      </c>
      <c r="T304">
        <v>573417</v>
      </c>
      <c r="U304">
        <v>1</v>
      </c>
      <c r="V304" t="s">
        <v>1573</v>
      </c>
      <c r="W304" t="s">
        <v>1592</v>
      </c>
      <c r="X304">
        <v>10.25</v>
      </c>
    </row>
    <row r="305" spans="1:24" x14ac:dyDescent="0.25">
      <c r="A305" t="s">
        <v>325</v>
      </c>
      <c r="B305" s="4">
        <v>45712</v>
      </c>
      <c r="C305" s="4" t="str">
        <f t="shared" si="8"/>
        <v>Feb</v>
      </c>
      <c r="D305" t="s">
        <v>1522</v>
      </c>
      <c r="E305" t="s">
        <v>1523</v>
      </c>
      <c r="F305" t="s">
        <v>1532</v>
      </c>
      <c r="G305" t="s">
        <v>1539</v>
      </c>
      <c r="H305" t="s">
        <v>1551</v>
      </c>
      <c r="I305">
        <v>2026</v>
      </c>
      <c r="J305" t="s">
        <v>1554</v>
      </c>
      <c r="K305" t="s">
        <v>1556</v>
      </c>
      <c r="L305">
        <v>883745</v>
      </c>
      <c r="M305">
        <v>712498</v>
      </c>
      <c r="N305">
        <v>171247</v>
      </c>
      <c r="O305">
        <v>24</v>
      </c>
      <c r="P305" t="str">
        <f t="shared" si="9"/>
        <v>young</v>
      </c>
      <c r="Q305" t="s">
        <v>1559</v>
      </c>
      <c r="R305" t="s">
        <v>1565</v>
      </c>
      <c r="S305" t="s">
        <v>1568</v>
      </c>
      <c r="T305">
        <v>1267297</v>
      </c>
      <c r="U305">
        <v>5</v>
      </c>
      <c r="V305" t="s">
        <v>1578</v>
      </c>
      <c r="W305" t="s">
        <v>1591</v>
      </c>
      <c r="X305">
        <v>19.38</v>
      </c>
    </row>
    <row r="306" spans="1:24" x14ac:dyDescent="0.25">
      <c r="A306" t="s">
        <v>326</v>
      </c>
      <c r="B306" s="4">
        <v>46244</v>
      </c>
      <c r="C306" s="4" t="str">
        <f t="shared" si="8"/>
        <v>Aug</v>
      </c>
      <c r="D306" t="s">
        <v>1522</v>
      </c>
      <c r="E306" t="s">
        <v>1524</v>
      </c>
      <c r="F306" t="s">
        <v>1528</v>
      </c>
      <c r="G306" t="s">
        <v>1541</v>
      </c>
      <c r="H306" t="s">
        <v>4</v>
      </c>
      <c r="I306">
        <v>2024</v>
      </c>
      <c r="J306" t="s">
        <v>1554</v>
      </c>
      <c r="K306" t="s">
        <v>1556</v>
      </c>
      <c r="L306">
        <v>1432054</v>
      </c>
      <c r="M306">
        <v>1253099</v>
      </c>
      <c r="N306">
        <v>178955</v>
      </c>
      <c r="O306">
        <v>22</v>
      </c>
      <c r="P306" t="str">
        <f t="shared" si="9"/>
        <v>young</v>
      </c>
      <c r="Q306" t="s">
        <v>1558</v>
      </c>
      <c r="R306" t="s">
        <v>1566</v>
      </c>
      <c r="S306" t="s">
        <v>1567</v>
      </c>
      <c r="T306">
        <v>1954561</v>
      </c>
      <c r="U306">
        <v>5</v>
      </c>
      <c r="V306" t="s">
        <v>1576</v>
      </c>
      <c r="W306" t="s">
        <v>1594</v>
      </c>
      <c r="X306">
        <v>12.5</v>
      </c>
    </row>
    <row r="307" spans="1:24" x14ac:dyDescent="0.25">
      <c r="A307" t="s">
        <v>327</v>
      </c>
      <c r="B307" s="4">
        <v>46253</v>
      </c>
      <c r="C307" s="4" t="str">
        <f t="shared" si="8"/>
        <v>Aug</v>
      </c>
      <c r="D307" t="s">
        <v>1522</v>
      </c>
      <c r="E307" t="s">
        <v>1523</v>
      </c>
      <c r="F307" t="s">
        <v>1531</v>
      </c>
      <c r="G307" t="s">
        <v>1543</v>
      </c>
      <c r="H307" t="s">
        <v>4</v>
      </c>
      <c r="I307">
        <v>2024</v>
      </c>
      <c r="J307" t="s">
        <v>1554</v>
      </c>
      <c r="K307" t="s">
        <v>1556</v>
      </c>
      <c r="L307">
        <v>1528264</v>
      </c>
      <c r="M307">
        <v>1241146</v>
      </c>
      <c r="N307">
        <v>287118</v>
      </c>
      <c r="O307">
        <v>27</v>
      </c>
      <c r="P307" t="str">
        <f t="shared" si="9"/>
        <v>young</v>
      </c>
      <c r="Q307" t="s">
        <v>1558</v>
      </c>
      <c r="R307" t="s">
        <v>1562</v>
      </c>
      <c r="S307" t="s">
        <v>1570</v>
      </c>
      <c r="T307">
        <v>658817</v>
      </c>
      <c r="U307">
        <v>2</v>
      </c>
      <c r="V307" t="s">
        <v>1576</v>
      </c>
      <c r="W307" t="s">
        <v>1594</v>
      </c>
      <c r="X307">
        <v>18.79</v>
      </c>
    </row>
    <row r="308" spans="1:24" x14ac:dyDescent="0.25">
      <c r="A308" t="s">
        <v>328</v>
      </c>
      <c r="B308" s="4">
        <v>46140</v>
      </c>
      <c r="C308" s="4" t="str">
        <f t="shared" si="8"/>
        <v>Apr</v>
      </c>
      <c r="D308" t="s">
        <v>1522</v>
      </c>
      <c r="E308" t="s">
        <v>1524</v>
      </c>
      <c r="F308" t="s">
        <v>1537</v>
      </c>
      <c r="G308" t="s">
        <v>1548</v>
      </c>
      <c r="H308" t="s">
        <v>1551</v>
      </c>
      <c r="I308">
        <v>2024</v>
      </c>
      <c r="J308" t="s">
        <v>1554</v>
      </c>
      <c r="K308" t="s">
        <v>1556</v>
      </c>
      <c r="L308">
        <v>884169</v>
      </c>
      <c r="M308">
        <v>823030</v>
      </c>
      <c r="N308">
        <v>61139</v>
      </c>
      <c r="O308">
        <v>28</v>
      </c>
      <c r="P308" t="str">
        <f t="shared" si="9"/>
        <v>young</v>
      </c>
      <c r="Q308" t="s">
        <v>1558</v>
      </c>
      <c r="R308" t="s">
        <v>1565</v>
      </c>
      <c r="S308" t="s">
        <v>1568</v>
      </c>
      <c r="T308">
        <v>34050</v>
      </c>
      <c r="U308">
        <v>5</v>
      </c>
      <c r="V308" t="s">
        <v>1580</v>
      </c>
      <c r="W308" t="s">
        <v>1592</v>
      </c>
      <c r="X308">
        <v>6.91</v>
      </c>
    </row>
    <row r="309" spans="1:24" x14ac:dyDescent="0.25">
      <c r="A309" t="s">
        <v>329</v>
      </c>
      <c r="B309" s="4">
        <v>46125</v>
      </c>
      <c r="C309" s="4" t="str">
        <f t="shared" si="8"/>
        <v>Apr</v>
      </c>
      <c r="D309" t="s">
        <v>1522</v>
      </c>
      <c r="E309" t="s">
        <v>1525</v>
      </c>
      <c r="F309" t="s">
        <v>1530</v>
      </c>
      <c r="G309" t="s">
        <v>1540</v>
      </c>
      <c r="H309" t="s">
        <v>1551</v>
      </c>
      <c r="I309">
        <v>2025</v>
      </c>
      <c r="J309" t="s">
        <v>1554</v>
      </c>
      <c r="K309" t="s">
        <v>1556</v>
      </c>
      <c r="L309">
        <v>818853</v>
      </c>
      <c r="M309">
        <v>712812</v>
      </c>
      <c r="N309">
        <v>106041</v>
      </c>
      <c r="O309">
        <v>55</v>
      </c>
      <c r="P309" t="str">
        <f t="shared" si="9"/>
        <v>senior</v>
      </c>
      <c r="Q309" t="s">
        <v>1558</v>
      </c>
      <c r="R309" t="s">
        <v>1564</v>
      </c>
      <c r="S309" t="s">
        <v>1568</v>
      </c>
      <c r="T309">
        <v>1090249</v>
      </c>
      <c r="U309">
        <v>2</v>
      </c>
      <c r="V309" t="s">
        <v>1580</v>
      </c>
      <c r="W309" t="s">
        <v>1592</v>
      </c>
      <c r="X309">
        <v>12.95</v>
      </c>
    </row>
    <row r="310" spans="1:24" x14ac:dyDescent="0.25">
      <c r="A310" t="s">
        <v>330</v>
      </c>
      <c r="B310" s="4">
        <v>45866</v>
      </c>
      <c r="C310" s="4" t="str">
        <f t="shared" si="8"/>
        <v>Jul</v>
      </c>
      <c r="D310" t="s">
        <v>1522</v>
      </c>
      <c r="E310" t="s">
        <v>1527</v>
      </c>
      <c r="F310" t="s">
        <v>1532</v>
      </c>
      <c r="G310" t="s">
        <v>1538</v>
      </c>
      <c r="H310" t="s">
        <v>1551</v>
      </c>
      <c r="I310">
        <v>2024</v>
      </c>
      <c r="J310" t="s">
        <v>1554</v>
      </c>
      <c r="K310" t="s">
        <v>1557</v>
      </c>
      <c r="L310">
        <v>854261</v>
      </c>
      <c r="M310">
        <v>783421</v>
      </c>
      <c r="N310">
        <v>70840</v>
      </c>
      <c r="O310">
        <v>52</v>
      </c>
      <c r="P310" t="str">
        <f t="shared" si="9"/>
        <v>senior</v>
      </c>
      <c r="Q310" t="s">
        <v>1559</v>
      </c>
      <c r="R310" t="s">
        <v>1561</v>
      </c>
      <c r="S310" t="s">
        <v>1567</v>
      </c>
      <c r="T310">
        <v>1309242</v>
      </c>
      <c r="U310">
        <v>2</v>
      </c>
      <c r="V310" t="s">
        <v>1579</v>
      </c>
      <c r="W310" t="s">
        <v>1594</v>
      </c>
      <c r="X310">
        <v>8.2899999999999991</v>
      </c>
    </row>
    <row r="311" spans="1:24" x14ac:dyDescent="0.25">
      <c r="A311" t="s">
        <v>331</v>
      </c>
      <c r="B311" s="4">
        <v>46107</v>
      </c>
      <c r="C311" s="4" t="str">
        <f t="shared" si="8"/>
        <v>Mar</v>
      </c>
      <c r="D311" t="s">
        <v>1522</v>
      </c>
      <c r="E311" t="s">
        <v>1525</v>
      </c>
      <c r="F311" t="s">
        <v>1535</v>
      </c>
      <c r="G311" t="s">
        <v>1542</v>
      </c>
      <c r="H311" t="s">
        <v>4</v>
      </c>
      <c r="I311">
        <v>2023</v>
      </c>
      <c r="J311" t="s">
        <v>1554</v>
      </c>
      <c r="K311" t="s">
        <v>1557</v>
      </c>
      <c r="L311">
        <v>1666674</v>
      </c>
      <c r="M311">
        <v>1525560</v>
      </c>
      <c r="N311">
        <v>141114</v>
      </c>
      <c r="O311">
        <v>37</v>
      </c>
      <c r="P311" t="str">
        <f t="shared" si="9"/>
        <v>adult</v>
      </c>
      <c r="Q311" t="s">
        <v>1559</v>
      </c>
      <c r="R311" t="s">
        <v>1565</v>
      </c>
      <c r="S311" t="s">
        <v>1567</v>
      </c>
      <c r="T311">
        <v>893114</v>
      </c>
      <c r="U311">
        <v>3</v>
      </c>
      <c r="V311" t="s">
        <v>1586</v>
      </c>
      <c r="W311" t="s">
        <v>1591</v>
      </c>
      <c r="X311">
        <v>8.4700000000000006</v>
      </c>
    </row>
    <row r="312" spans="1:24" x14ac:dyDescent="0.25">
      <c r="A312" t="s">
        <v>332</v>
      </c>
      <c r="B312" s="4">
        <v>46255</v>
      </c>
      <c r="C312" s="4" t="str">
        <f t="shared" si="8"/>
        <v>Aug</v>
      </c>
      <c r="D312" t="s">
        <v>1522</v>
      </c>
      <c r="E312" t="s">
        <v>1527</v>
      </c>
      <c r="F312" t="s">
        <v>1530</v>
      </c>
      <c r="G312" t="s">
        <v>1538</v>
      </c>
      <c r="H312" t="s">
        <v>4</v>
      </c>
      <c r="I312">
        <v>2026</v>
      </c>
      <c r="J312" t="s">
        <v>1554</v>
      </c>
      <c r="K312" t="s">
        <v>1556</v>
      </c>
      <c r="L312">
        <v>1832005</v>
      </c>
      <c r="M312">
        <v>1518642</v>
      </c>
      <c r="N312">
        <v>313363</v>
      </c>
      <c r="O312">
        <v>53</v>
      </c>
      <c r="P312" t="str">
        <f t="shared" si="9"/>
        <v>senior</v>
      </c>
      <c r="Q312" t="s">
        <v>1558</v>
      </c>
      <c r="R312" t="s">
        <v>1564</v>
      </c>
      <c r="S312" t="s">
        <v>1568</v>
      </c>
      <c r="T312">
        <v>752246</v>
      </c>
      <c r="U312">
        <v>4</v>
      </c>
      <c r="V312" t="s">
        <v>1576</v>
      </c>
      <c r="W312" t="s">
        <v>1594</v>
      </c>
      <c r="X312">
        <v>17.100000000000001</v>
      </c>
    </row>
    <row r="313" spans="1:24" x14ac:dyDescent="0.25">
      <c r="A313" t="s">
        <v>333</v>
      </c>
      <c r="B313" s="4">
        <v>46010</v>
      </c>
      <c r="C313" s="4" t="str">
        <f t="shared" si="8"/>
        <v>Dec</v>
      </c>
      <c r="D313" t="s">
        <v>1522</v>
      </c>
      <c r="E313" t="s">
        <v>1524</v>
      </c>
      <c r="F313" t="s">
        <v>1528</v>
      </c>
      <c r="G313" t="s">
        <v>1548</v>
      </c>
      <c r="H313" t="s">
        <v>1550</v>
      </c>
      <c r="I313">
        <v>2025</v>
      </c>
      <c r="J313" t="s">
        <v>1554</v>
      </c>
      <c r="K313" t="s">
        <v>1556</v>
      </c>
      <c r="L313">
        <v>1262207</v>
      </c>
      <c r="M313">
        <v>1076221</v>
      </c>
      <c r="N313">
        <v>185986</v>
      </c>
      <c r="O313">
        <v>29</v>
      </c>
      <c r="P313" t="str">
        <f t="shared" si="9"/>
        <v>young</v>
      </c>
      <c r="Q313" t="s">
        <v>1560</v>
      </c>
      <c r="R313" t="s">
        <v>1561</v>
      </c>
      <c r="S313" t="s">
        <v>1570</v>
      </c>
      <c r="T313">
        <v>806362</v>
      </c>
      <c r="U313">
        <v>2</v>
      </c>
      <c r="V313" t="s">
        <v>1575</v>
      </c>
      <c r="W313" t="s">
        <v>1593</v>
      </c>
      <c r="X313">
        <v>14.73</v>
      </c>
    </row>
    <row r="314" spans="1:24" x14ac:dyDescent="0.25">
      <c r="A314" t="s">
        <v>334</v>
      </c>
      <c r="B314" s="4">
        <v>46232</v>
      </c>
      <c r="C314" s="4" t="str">
        <f t="shared" si="8"/>
        <v>Jul</v>
      </c>
      <c r="D314" t="s">
        <v>1522</v>
      </c>
      <c r="E314" t="s">
        <v>1523</v>
      </c>
      <c r="F314" t="s">
        <v>1530</v>
      </c>
      <c r="G314" t="s">
        <v>1540</v>
      </c>
      <c r="H314" t="s">
        <v>1551</v>
      </c>
      <c r="I314">
        <v>2026</v>
      </c>
      <c r="J314" t="s">
        <v>1554</v>
      </c>
      <c r="K314" t="s">
        <v>1556</v>
      </c>
      <c r="L314">
        <v>765490</v>
      </c>
      <c r="M314">
        <v>728420</v>
      </c>
      <c r="N314">
        <v>37070</v>
      </c>
      <c r="O314">
        <v>56</v>
      </c>
      <c r="P314" t="str">
        <f t="shared" si="9"/>
        <v>senior</v>
      </c>
      <c r="Q314" t="s">
        <v>1558</v>
      </c>
      <c r="R314" t="s">
        <v>1562</v>
      </c>
      <c r="S314" t="s">
        <v>1570</v>
      </c>
      <c r="T314">
        <v>904204</v>
      </c>
      <c r="U314">
        <v>2</v>
      </c>
      <c r="V314" t="s">
        <v>1587</v>
      </c>
      <c r="W314" t="s">
        <v>1594</v>
      </c>
      <c r="X314">
        <v>4.84</v>
      </c>
    </row>
    <row r="315" spans="1:24" x14ac:dyDescent="0.25">
      <c r="A315" t="s">
        <v>335</v>
      </c>
      <c r="B315" s="4">
        <v>46241</v>
      </c>
      <c r="C315" s="4" t="str">
        <f t="shared" si="8"/>
        <v>Aug</v>
      </c>
      <c r="D315" t="s">
        <v>1522</v>
      </c>
      <c r="E315" t="s">
        <v>1527</v>
      </c>
      <c r="F315" t="s">
        <v>1532</v>
      </c>
      <c r="G315" t="s">
        <v>1541</v>
      </c>
      <c r="H315" t="s">
        <v>1550</v>
      </c>
      <c r="I315">
        <v>2025</v>
      </c>
      <c r="J315" t="s">
        <v>1554</v>
      </c>
      <c r="K315" t="s">
        <v>1557</v>
      </c>
      <c r="L315">
        <v>1248609</v>
      </c>
      <c r="M315">
        <v>1171501</v>
      </c>
      <c r="N315">
        <v>77108</v>
      </c>
      <c r="O315">
        <v>54</v>
      </c>
      <c r="P315" t="str">
        <f t="shared" si="9"/>
        <v>senior</v>
      </c>
      <c r="Q315" t="s">
        <v>1558</v>
      </c>
      <c r="R315" t="s">
        <v>1566</v>
      </c>
      <c r="S315" t="s">
        <v>1568</v>
      </c>
      <c r="T315">
        <v>2123668</v>
      </c>
      <c r="U315">
        <v>5</v>
      </c>
      <c r="V315" t="s">
        <v>1576</v>
      </c>
      <c r="W315" t="s">
        <v>1594</v>
      </c>
      <c r="X315">
        <v>6.18</v>
      </c>
    </row>
    <row r="316" spans="1:24" x14ac:dyDescent="0.25">
      <c r="A316" t="s">
        <v>336</v>
      </c>
      <c r="B316" s="4">
        <v>46264</v>
      </c>
      <c r="C316" s="4" t="str">
        <f t="shared" si="8"/>
        <v>Aug</v>
      </c>
      <c r="D316" t="s">
        <v>1522</v>
      </c>
      <c r="E316" t="s">
        <v>1527</v>
      </c>
      <c r="F316" t="s">
        <v>1534</v>
      </c>
      <c r="G316" t="s">
        <v>1540</v>
      </c>
      <c r="H316" t="s">
        <v>1550</v>
      </c>
      <c r="I316">
        <v>2024</v>
      </c>
      <c r="J316" t="s">
        <v>1554</v>
      </c>
      <c r="K316" t="s">
        <v>1556</v>
      </c>
      <c r="L316">
        <v>1643856</v>
      </c>
      <c r="M316">
        <v>1417425</v>
      </c>
      <c r="N316">
        <v>226431</v>
      </c>
      <c r="O316">
        <v>29</v>
      </c>
      <c r="P316" t="str">
        <f t="shared" si="9"/>
        <v>young</v>
      </c>
      <c r="Q316" t="s">
        <v>1559</v>
      </c>
      <c r="R316" t="s">
        <v>1564</v>
      </c>
      <c r="S316" t="s">
        <v>1567</v>
      </c>
      <c r="T316">
        <v>1029932</v>
      </c>
      <c r="U316">
        <v>3</v>
      </c>
      <c r="V316" t="s">
        <v>1576</v>
      </c>
      <c r="W316" t="s">
        <v>1594</v>
      </c>
      <c r="X316">
        <v>13.77</v>
      </c>
    </row>
    <row r="317" spans="1:24" x14ac:dyDescent="0.25">
      <c r="A317" t="s">
        <v>337</v>
      </c>
      <c r="B317" s="4">
        <v>45680</v>
      </c>
      <c r="C317" s="4" t="str">
        <f t="shared" si="8"/>
        <v>Jan</v>
      </c>
      <c r="D317" t="s">
        <v>1522</v>
      </c>
      <c r="E317" t="s">
        <v>1525</v>
      </c>
      <c r="F317" t="s">
        <v>1528</v>
      </c>
      <c r="G317" t="s">
        <v>1539</v>
      </c>
      <c r="H317" t="s">
        <v>4</v>
      </c>
      <c r="I317">
        <v>2025</v>
      </c>
      <c r="J317" t="s">
        <v>1554</v>
      </c>
      <c r="K317" t="s">
        <v>1556</v>
      </c>
      <c r="L317">
        <v>1283479</v>
      </c>
      <c r="M317">
        <v>1123472</v>
      </c>
      <c r="N317">
        <v>160007</v>
      </c>
      <c r="O317">
        <v>33</v>
      </c>
      <c r="P317" t="str">
        <f t="shared" si="9"/>
        <v>adult</v>
      </c>
      <c r="Q317" t="s">
        <v>1559</v>
      </c>
      <c r="R317" t="s">
        <v>1564</v>
      </c>
      <c r="S317" t="s">
        <v>1568</v>
      </c>
      <c r="T317">
        <v>1622031</v>
      </c>
      <c r="U317">
        <v>5</v>
      </c>
      <c r="V317" t="s">
        <v>1571</v>
      </c>
      <c r="W317" t="s">
        <v>1591</v>
      </c>
      <c r="X317">
        <v>12.47</v>
      </c>
    </row>
    <row r="318" spans="1:24" x14ac:dyDescent="0.25">
      <c r="A318" t="s">
        <v>338</v>
      </c>
      <c r="B318" s="4">
        <v>46157</v>
      </c>
      <c r="C318" s="4" t="str">
        <f t="shared" si="8"/>
        <v>May</v>
      </c>
      <c r="D318" t="s">
        <v>1522</v>
      </c>
      <c r="E318" t="s">
        <v>1524</v>
      </c>
      <c r="F318" t="s">
        <v>1528</v>
      </c>
      <c r="G318" t="s">
        <v>1548</v>
      </c>
      <c r="H318" t="s">
        <v>1551</v>
      </c>
      <c r="I318">
        <v>2024</v>
      </c>
      <c r="J318" t="s">
        <v>1554</v>
      </c>
      <c r="K318" t="s">
        <v>1556</v>
      </c>
      <c r="L318">
        <v>822983</v>
      </c>
      <c r="M318">
        <v>744272</v>
      </c>
      <c r="N318">
        <v>78711</v>
      </c>
      <c r="O318">
        <v>45</v>
      </c>
      <c r="P318" t="str">
        <f t="shared" si="9"/>
        <v>adult</v>
      </c>
      <c r="Q318" t="s">
        <v>1558</v>
      </c>
      <c r="R318" t="s">
        <v>1561</v>
      </c>
      <c r="S318" t="s">
        <v>1569</v>
      </c>
      <c r="T318">
        <v>1875283</v>
      </c>
      <c r="U318">
        <v>3</v>
      </c>
      <c r="V318" t="s">
        <v>1590</v>
      </c>
      <c r="W318" t="s">
        <v>1592</v>
      </c>
      <c r="X318">
        <v>9.56</v>
      </c>
    </row>
    <row r="319" spans="1:24" x14ac:dyDescent="0.25">
      <c r="A319" t="s">
        <v>339</v>
      </c>
      <c r="B319" s="4">
        <v>45912</v>
      </c>
      <c r="C319" s="4" t="str">
        <f t="shared" si="8"/>
        <v>Sep</v>
      </c>
      <c r="D319" t="s">
        <v>1522</v>
      </c>
      <c r="E319" t="s">
        <v>1527</v>
      </c>
      <c r="F319" t="s">
        <v>1533</v>
      </c>
      <c r="G319" t="s">
        <v>1539</v>
      </c>
      <c r="H319" t="s">
        <v>1551</v>
      </c>
      <c r="I319">
        <v>2026</v>
      </c>
      <c r="J319" t="s">
        <v>1554</v>
      </c>
      <c r="K319" t="s">
        <v>1556</v>
      </c>
      <c r="L319">
        <v>908778</v>
      </c>
      <c r="M319">
        <v>789726</v>
      </c>
      <c r="N319">
        <v>119052</v>
      </c>
      <c r="O319">
        <v>51</v>
      </c>
      <c r="P319" t="str">
        <f t="shared" si="9"/>
        <v>senior</v>
      </c>
      <c r="Q319" t="s">
        <v>1558</v>
      </c>
      <c r="R319" t="s">
        <v>1562</v>
      </c>
      <c r="S319" t="s">
        <v>1567</v>
      </c>
      <c r="T319">
        <v>677902</v>
      </c>
      <c r="U319">
        <v>1</v>
      </c>
      <c r="V319" t="s">
        <v>1577</v>
      </c>
      <c r="W319" t="s">
        <v>1594</v>
      </c>
      <c r="X319">
        <v>13.1</v>
      </c>
    </row>
    <row r="320" spans="1:24" x14ac:dyDescent="0.25">
      <c r="A320" t="s">
        <v>340</v>
      </c>
      <c r="B320" s="4">
        <v>45816</v>
      </c>
      <c r="C320" s="4" t="str">
        <f t="shared" si="8"/>
        <v>Jun</v>
      </c>
      <c r="D320" t="s">
        <v>1522</v>
      </c>
      <c r="E320" t="s">
        <v>1527</v>
      </c>
      <c r="F320" t="s">
        <v>1530</v>
      </c>
      <c r="G320" t="s">
        <v>1549</v>
      </c>
      <c r="H320" t="s">
        <v>4</v>
      </c>
      <c r="I320">
        <v>2024</v>
      </c>
      <c r="J320" t="s">
        <v>1554</v>
      </c>
      <c r="K320" t="s">
        <v>1557</v>
      </c>
      <c r="L320">
        <v>1321979</v>
      </c>
      <c r="M320">
        <v>1178801</v>
      </c>
      <c r="N320">
        <v>143178</v>
      </c>
      <c r="O320">
        <v>39</v>
      </c>
      <c r="P320" t="str">
        <f t="shared" si="9"/>
        <v>adult</v>
      </c>
      <c r="Q320" t="s">
        <v>1559</v>
      </c>
      <c r="R320" t="s">
        <v>1564</v>
      </c>
      <c r="S320" t="s">
        <v>1567</v>
      </c>
      <c r="T320">
        <v>1033366</v>
      </c>
      <c r="U320">
        <v>4</v>
      </c>
      <c r="V320" t="s">
        <v>1584</v>
      </c>
      <c r="W320" t="s">
        <v>1592</v>
      </c>
      <c r="X320">
        <v>10.83</v>
      </c>
    </row>
    <row r="321" spans="1:24" x14ac:dyDescent="0.25">
      <c r="A321" t="s">
        <v>341</v>
      </c>
      <c r="B321" s="4">
        <v>46245</v>
      </c>
      <c r="C321" s="4" t="str">
        <f t="shared" si="8"/>
        <v>Aug</v>
      </c>
      <c r="D321" t="s">
        <v>1522</v>
      </c>
      <c r="E321" t="s">
        <v>1525</v>
      </c>
      <c r="F321" t="s">
        <v>1534</v>
      </c>
      <c r="G321" t="s">
        <v>1547</v>
      </c>
      <c r="H321" t="s">
        <v>4</v>
      </c>
      <c r="I321">
        <v>2024</v>
      </c>
      <c r="J321" t="s">
        <v>1554</v>
      </c>
      <c r="K321" t="s">
        <v>1557</v>
      </c>
      <c r="L321">
        <v>1873844</v>
      </c>
      <c r="M321">
        <v>1557838</v>
      </c>
      <c r="N321">
        <v>316006</v>
      </c>
      <c r="O321">
        <v>53</v>
      </c>
      <c r="P321" t="str">
        <f t="shared" si="9"/>
        <v>senior</v>
      </c>
      <c r="Q321" t="s">
        <v>1558</v>
      </c>
      <c r="R321" t="s">
        <v>1563</v>
      </c>
      <c r="S321" t="s">
        <v>1567</v>
      </c>
      <c r="T321">
        <v>2015423</v>
      </c>
      <c r="U321">
        <v>4</v>
      </c>
      <c r="V321" t="s">
        <v>1576</v>
      </c>
      <c r="W321" t="s">
        <v>1594</v>
      </c>
      <c r="X321">
        <v>16.86</v>
      </c>
    </row>
    <row r="322" spans="1:24" x14ac:dyDescent="0.25">
      <c r="A322" t="s">
        <v>342</v>
      </c>
      <c r="B322" s="4">
        <v>45695</v>
      </c>
      <c r="C322" s="4" t="str">
        <f t="shared" si="8"/>
        <v>Feb</v>
      </c>
      <c r="D322" t="s">
        <v>1522</v>
      </c>
      <c r="E322" t="s">
        <v>1523</v>
      </c>
      <c r="F322" t="s">
        <v>1533</v>
      </c>
      <c r="G322" t="s">
        <v>1539</v>
      </c>
      <c r="H322" t="s">
        <v>1550</v>
      </c>
      <c r="I322">
        <v>2025</v>
      </c>
      <c r="J322" t="s">
        <v>1554</v>
      </c>
      <c r="K322" t="s">
        <v>1556</v>
      </c>
      <c r="L322">
        <v>1361380</v>
      </c>
      <c r="M322">
        <v>1182723</v>
      </c>
      <c r="N322">
        <v>178657</v>
      </c>
      <c r="O322">
        <v>41</v>
      </c>
      <c r="P322" t="str">
        <f t="shared" si="9"/>
        <v>adult</v>
      </c>
      <c r="Q322" t="s">
        <v>1558</v>
      </c>
      <c r="R322" t="s">
        <v>1561</v>
      </c>
      <c r="S322" t="s">
        <v>1567</v>
      </c>
      <c r="T322">
        <v>332112</v>
      </c>
      <c r="U322">
        <v>4</v>
      </c>
      <c r="V322" t="s">
        <v>1578</v>
      </c>
      <c r="W322" t="s">
        <v>1591</v>
      </c>
      <c r="X322">
        <v>13.12</v>
      </c>
    </row>
    <row r="323" spans="1:24" x14ac:dyDescent="0.25">
      <c r="A323" t="s">
        <v>343</v>
      </c>
      <c r="B323" s="4">
        <v>46081</v>
      </c>
      <c r="C323" s="4" t="str">
        <f t="shared" ref="C323:C386" si="10">TEXT(B323,"MMM")</f>
        <v>Feb</v>
      </c>
      <c r="D323" t="s">
        <v>1522</v>
      </c>
      <c r="E323" t="s">
        <v>1527</v>
      </c>
      <c r="F323" t="s">
        <v>1533</v>
      </c>
      <c r="G323" t="s">
        <v>1539</v>
      </c>
      <c r="H323" t="s">
        <v>1550</v>
      </c>
      <c r="I323">
        <v>2024</v>
      </c>
      <c r="J323" t="s">
        <v>1554</v>
      </c>
      <c r="K323" t="s">
        <v>1557</v>
      </c>
      <c r="L323">
        <v>1510193</v>
      </c>
      <c r="M323">
        <v>1298721</v>
      </c>
      <c r="N323">
        <v>211472</v>
      </c>
      <c r="O323">
        <v>41</v>
      </c>
      <c r="P323" t="str">
        <f t="shared" ref="P323:P386" si="11">IF(O323&gt;50,"senior",IF(O323&gt;30,"adult","young"))</f>
        <v>adult</v>
      </c>
      <c r="Q323" t="s">
        <v>1558</v>
      </c>
      <c r="R323" t="s">
        <v>1563</v>
      </c>
      <c r="S323" t="s">
        <v>1568</v>
      </c>
      <c r="T323">
        <v>1723930</v>
      </c>
      <c r="U323">
        <v>4</v>
      </c>
      <c r="V323" t="s">
        <v>1589</v>
      </c>
      <c r="W323" t="s">
        <v>1591</v>
      </c>
      <c r="X323">
        <v>14</v>
      </c>
    </row>
    <row r="324" spans="1:24" x14ac:dyDescent="0.25">
      <c r="A324" t="s">
        <v>344</v>
      </c>
      <c r="B324" s="4">
        <v>46209</v>
      </c>
      <c r="C324" s="4" t="str">
        <f t="shared" si="10"/>
        <v>Jul</v>
      </c>
      <c r="D324" t="s">
        <v>1522</v>
      </c>
      <c r="E324" t="s">
        <v>1527</v>
      </c>
      <c r="F324" t="s">
        <v>1537</v>
      </c>
      <c r="G324" t="s">
        <v>1548</v>
      </c>
      <c r="H324" t="s">
        <v>1551</v>
      </c>
      <c r="I324">
        <v>2024</v>
      </c>
      <c r="J324" t="s">
        <v>1554</v>
      </c>
      <c r="K324" t="s">
        <v>1556</v>
      </c>
      <c r="L324">
        <v>865268</v>
      </c>
      <c r="M324">
        <v>774535</v>
      </c>
      <c r="N324">
        <v>90733</v>
      </c>
      <c r="O324">
        <v>60</v>
      </c>
      <c r="P324" t="str">
        <f t="shared" si="11"/>
        <v>senior</v>
      </c>
      <c r="Q324" t="s">
        <v>1559</v>
      </c>
      <c r="R324" t="s">
        <v>1562</v>
      </c>
      <c r="S324" t="s">
        <v>1570</v>
      </c>
      <c r="T324">
        <v>959142</v>
      </c>
      <c r="U324">
        <v>2</v>
      </c>
      <c r="V324" t="s">
        <v>1587</v>
      </c>
      <c r="W324" t="s">
        <v>1594</v>
      </c>
      <c r="X324">
        <v>10.49</v>
      </c>
    </row>
    <row r="325" spans="1:24" x14ac:dyDescent="0.25">
      <c r="A325" t="s">
        <v>345</v>
      </c>
      <c r="B325" s="4">
        <v>45800</v>
      </c>
      <c r="C325" s="4" t="str">
        <f t="shared" si="10"/>
        <v>May</v>
      </c>
      <c r="D325" t="s">
        <v>1522</v>
      </c>
      <c r="E325" t="s">
        <v>1526</v>
      </c>
      <c r="F325" t="s">
        <v>1528</v>
      </c>
      <c r="G325" t="s">
        <v>1540</v>
      </c>
      <c r="H325" t="s">
        <v>1550</v>
      </c>
      <c r="I325">
        <v>2024</v>
      </c>
      <c r="J325" t="s">
        <v>1554</v>
      </c>
      <c r="K325" t="s">
        <v>1556</v>
      </c>
      <c r="L325">
        <v>1141655</v>
      </c>
      <c r="M325">
        <v>1027135</v>
      </c>
      <c r="N325">
        <v>114520</v>
      </c>
      <c r="O325">
        <v>52</v>
      </c>
      <c r="P325" t="str">
        <f t="shared" si="11"/>
        <v>senior</v>
      </c>
      <c r="Q325" t="s">
        <v>1558</v>
      </c>
      <c r="R325" t="s">
        <v>1561</v>
      </c>
      <c r="S325" t="s">
        <v>1567</v>
      </c>
      <c r="T325">
        <v>167377</v>
      </c>
      <c r="U325">
        <v>4</v>
      </c>
      <c r="V325" t="s">
        <v>1572</v>
      </c>
      <c r="W325" t="s">
        <v>1592</v>
      </c>
      <c r="X325">
        <v>10.029999999999999</v>
      </c>
    </row>
    <row r="326" spans="1:24" x14ac:dyDescent="0.25">
      <c r="A326" t="s">
        <v>346</v>
      </c>
      <c r="B326" s="4">
        <v>46205</v>
      </c>
      <c r="C326" s="4" t="str">
        <f t="shared" si="10"/>
        <v>Jul</v>
      </c>
      <c r="D326" t="s">
        <v>1522</v>
      </c>
      <c r="E326" t="s">
        <v>1524</v>
      </c>
      <c r="F326" t="s">
        <v>1531</v>
      </c>
      <c r="G326" t="s">
        <v>1548</v>
      </c>
      <c r="H326" t="s">
        <v>1551</v>
      </c>
      <c r="I326">
        <v>2022</v>
      </c>
      <c r="J326" t="s">
        <v>1554</v>
      </c>
      <c r="K326" t="s">
        <v>1557</v>
      </c>
      <c r="L326">
        <v>974550</v>
      </c>
      <c r="M326">
        <v>853321</v>
      </c>
      <c r="N326">
        <v>121229</v>
      </c>
      <c r="O326">
        <v>29</v>
      </c>
      <c r="P326" t="str">
        <f t="shared" si="11"/>
        <v>young</v>
      </c>
      <c r="Q326" t="s">
        <v>1558</v>
      </c>
      <c r="R326" t="s">
        <v>1564</v>
      </c>
      <c r="S326" t="s">
        <v>1569</v>
      </c>
      <c r="T326">
        <v>1783221</v>
      </c>
      <c r="U326">
        <v>2</v>
      </c>
      <c r="V326" t="s">
        <v>1587</v>
      </c>
      <c r="W326" t="s">
        <v>1594</v>
      </c>
      <c r="X326">
        <v>12.44</v>
      </c>
    </row>
    <row r="327" spans="1:24" x14ac:dyDescent="0.25">
      <c r="A327" t="s">
        <v>347</v>
      </c>
      <c r="B327" s="4">
        <v>45858</v>
      </c>
      <c r="C327" s="4" t="str">
        <f t="shared" si="10"/>
        <v>Jul</v>
      </c>
      <c r="D327" t="s">
        <v>1522</v>
      </c>
      <c r="E327" t="s">
        <v>1523</v>
      </c>
      <c r="F327" t="s">
        <v>1528</v>
      </c>
      <c r="G327" t="s">
        <v>1544</v>
      </c>
      <c r="H327" t="s">
        <v>1550</v>
      </c>
      <c r="I327">
        <v>2025</v>
      </c>
      <c r="J327" t="s">
        <v>1554</v>
      </c>
      <c r="K327" t="s">
        <v>1557</v>
      </c>
      <c r="L327">
        <v>1473272</v>
      </c>
      <c r="M327">
        <v>1362131</v>
      </c>
      <c r="N327">
        <v>111141</v>
      </c>
      <c r="O327">
        <v>45</v>
      </c>
      <c r="P327" t="str">
        <f t="shared" si="11"/>
        <v>adult</v>
      </c>
      <c r="Q327" t="s">
        <v>1558</v>
      </c>
      <c r="R327" t="s">
        <v>1562</v>
      </c>
      <c r="S327" t="s">
        <v>1570</v>
      </c>
      <c r="T327">
        <v>2112275</v>
      </c>
      <c r="U327">
        <v>3</v>
      </c>
      <c r="V327" t="s">
        <v>1579</v>
      </c>
      <c r="W327" t="s">
        <v>1594</v>
      </c>
      <c r="X327">
        <v>7.54</v>
      </c>
    </row>
    <row r="328" spans="1:24" x14ac:dyDescent="0.25">
      <c r="A328" t="s">
        <v>348</v>
      </c>
      <c r="B328" s="4">
        <v>45722</v>
      </c>
      <c r="C328" s="4" t="str">
        <f t="shared" si="10"/>
        <v>Mar</v>
      </c>
      <c r="D328" t="s">
        <v>1522</v>
      </c>
      <c r="E328" t="s">
        <v>1524</v>
      </c>
      <c r="F328" t="s">
        <v>1530</v>
      </c>
      <c r="G328" t="s">
        <v>1539</v>
      </c>
      <c r="H328" t="s">
        <v>4</v>
      </c>
      <c r="I328">
        <v>2025</v>
      </c>
      <c r="J328" t="s">
        <v>1554</v>
      </c>
      <c r="K328" t="s">
        <v>1556</v>
      </c>
      <c r="L328">
        <v>1776092</v>
      </c>
      <c r="M328">
        <v>1581978</v>
      </c>
      <c r="N328">
        <v>194114</v>
      </c>
      <c r="O328">
        <v>61</v>
      </c>
      <c r="P328" t="str">
        <f t="shared" si="11"/>
        <v>senior</v>
      </c>
      <c r="Q328" t="s">
        <v>1559</v>
      </c>
      <c r="R328" t="s">
        <v>1565</v>
      </c>
      <c r="S328" t="s">
        <v>1567</v>
      </c>
      <c r="T328">
        <v>1234088</v>
      </c>
      <c r="U328">
        <v>1</v>
      </c>
      <c r="V328" t="s">
        <v>1588</v>
      </c>
      <c r="W328" t="s">
        <v>1591</v>
      </c>
      <c r="X328">
        <v>10.93</v>
      </c>
    </row>
    <row r="329" spans="1:24" x14ac:dyDescent="0.25">
      <c r="A329" t="s">
        <v>349</v>
      </c>
      <c r="B329" s="4">
        <v>46101</v>
      </c>
      <c r="C329" s="4" t="str">
        <f t="shared" si="10"/>
        <v>Mar</v>
      </c>
      <c r="D329" t="s">
        <v>1522</v>
      </c>
      <c r="E329" t="s">
        <v>1527</v>
      </c>
      <c r="F329" t="s">
        <v>1528</v>
      </c>
      <c r="G329" t="s">
        <v>1543</v>
      </c>
      <c r="H329" t="s">
        <v>1551</v>
      </c>
      <c r="I329">
        <v>2024</v>
      </c>
      <c r="J329" t="s">
        <v>1554</v>
      </c>
      <c r="K329" t="s">
        <v>1557</v>
      </c>
      <c r="L329">
        <v>896912</v>
      </c>
      <c r="M329">
        <v>779409</v>
      </c>
      <c r="N329">
        <v>117503</v>
      </c>
      <c r="O329">
        <v>59</v>
      </c>
      <c r="P329" t="str">
        <f t="shared" si="11"/>
        <v>senior</v>
      </c>
      <c r="Q329" t="s">
        <v>1559</v>
      </c>
      <c r="R329" t="s">
        <v>1561</v>
      </c>
      <c r="S329" t="s">
        <v>1567</v>
      </c>
      <c r="T329">
        <v>1619761</v>
      </c>
      <c r="U329">
        <v>5</v>
      </c>
      <c r="V329" t="s">
        <v>1586</v>
      </c>
      <c r="W329" t="s">
        <v>1591</v>
      </c>
      <c r="X329">
        <v>13.1</v>
      </c>
    </row>
    <row r="330" spans="1:24" x14ac:dyDescent="0.25">
      <c r="A330" t="s">
        <v>350</v>
      </c>
      <c r="B330" s="4">
        <v>45944</v>
      </c>
      <c r="C330" s="4" t="str">
        <f t="shared" si="10"/>
        <v>Oct</v>
      </c>
      <c r="D330" t="s">
        <v>1522</v>
      </c>
      <c r="E330" t="s">
        <v>1527</v>
      </c>
      <c r="F330" t="s">
        <v>1528</v>
      </c>
      <c r="G330" t="s">
        <v>1538</v>
      </c>
      <c r="H330" t="s">
        <v>1550</v>
      </c>
      <c r="I330">
        <v>2024</v>
      </c>
      <c r="J330" t="s">
        <v>1554</v>
      </c>
      <c r="K330" t="s">
        <v>1556</v>
      </c>
      <c r="L330">
        <v>1497147</v>
      </c>
      <c r="M330">
        <v>1241642</v>
      </c>
      <c r="N330">
        <v>255505</v>
      </c>
      <c r="O330">
        <v>53</v>
      </c>
      <c r="P330" t="str">
        <f t="shared" si="11"/>
        <v>senior</v>
      </c>
      <c r="Q330" t="s">
        <v>1558</v>
      </c>
      <c r="R330" t="s">
        <v>1561</v>
      </c>
      <c r="S330" t="s">
        <v>1567</v>
      </c>
      <c r="T330">
        <v>577102</v>
      </c>
      <c r="U330">
        <v>1</v>
      </c>
      <c r="V330" t="s">
        <v>1574</v>
      </c>
      <c r="W330" t="s">
        <v>1593</v>
      </c>
      <c r="X330">
        <v>17.07</v>
      </c>
    </row>
    <row r="331" spans="1:24" x14ac:dyDescent="0.25">
      <c r="A331" t="s">
        <v>351</v>
      </c>
      <c r="B331" s="4">
        <v>45961</v>
      </c>
      <c r="C331" s="4" t="str">
        <f t="shared" si="10"/>
        <v>Oct</v>
      </c>
      <c r="D331" t="s">
        <v>1522</v>
      </c>
      <c r="E331" t="s">
        <v>1523</v>
      </c>
      <c r="F331" t="s">
        <v>1530</v>
      </c>
      <c r="G331" t="s">
        <v>1545</v>
      </c>
      <c r="H331" t="s">
        <v>1550</v>
      </c>
      <c r="I331">
        <v>2022</v>
      </c>
      <c r="J331" t="s">
        <v>1553</v>
      </c>
      <c r="K331" t="s">
        <v>1556</v>
      </c>
      <c r="L331">
        <v>1563297</v>
      </c>
      <c r="M331">
        <v>1295480</v>
      </c>
      <c r="N331">
        <v>267817</v>
      </c>
      <c r="O331">
        <v>60</v>
      </c>
      <c r="P331" t="str">
        <f t="shared" si="11"/>
        <v>senior</v>
      </c>
      <c r="Q331" t="s">
        <v>1558</v>
      </c>
      <c r="R331" t="s">
        <v>1563</v>
      </c>
      <c r="S331" t="s">
        <v>1569</v>
      </c>
      <c r="T331">
        <v>1917693</v>
      </c>
      <c r="U331">
        <v>1</v>
      </c>
      <c r="V331" t="s">
        <v>1574</v>
      </c>
      <c r="W331" t="s">
        <v>1593</v>
      </c>
      <c r="X331">
        <v>17.13</v>
      </c>
    </row>
    <row r="332" spans="1:24" x14ac:dyDescent="0.25">
      <c r="A332" t="s">
        <v>352</v>
      </c>
      <c r="B332" s="4">
        <v>46132</v>
      </c>
      <c r="C332" s="4" t="str">
        <f t="shared" si="10"/>
        <v>Apr</v>
      </c>
      <c r="D332" t="s">
        <v>1522</v>
      </c>
      <c r="E332" t="s">
        <v>1525</v>
      </c>
      <c r="F332" t="s">
        <v>1537</v>
      </c>
      <c r="G332" t="s">
        <v>1546</v>
      </c>
      <c r="H332" t="s">
        <v>4</v>
      </c>
      <c r="I332">
        <v>2024</v>
      </c>
      <c r="J332" t="s">
        <v>1554</v>
      </c>
      <c r="K332" t="s">
        <v>1556</v>
      </c>
      <c r="L332">
        <v>1655787</v>
      </c>
      <c r="M332">
        <v>1372403</v>
      </c>
      <c r="N332">
        <v>283384</v>
      </c>
      <c r="O332">
        <v>40</v>
      </c>
      <c r="P332" t="str">
        <f t="shared" si="11"/>
        <v>adult</v>
      </c>
      <c r="Q332" t="s">
        <v>1559</v>
      </c>
      <c r="R332" t="s">
        <v>1566</v>
      </c>
      <c r="S332" t="s">
        <v>1568</v>
      </c>
      <c r="T332">
        <v>378559</v>
      </c>
      <c r="U332">
        <v>3</v>
      </c>
      <c r="V332" t="s">
        <v>1580</v>
      </c>
      <c r="W332" t="s">
        <v>1592</v>
      </c>
      <c r="X332">
        <v>17.11</v>
      </c>
    </row>
    <row r="333" spans="1:24" x14ac:dyDescent="0.25">
      <c r="A333" t="s">
        <v>353</v>
      </c>
      <c r="B333" s="4">
        <v>46221</v>
      </c>
      <c r="C333" s="4" t="str">
        <f t="shared" si="10"/>
        <v>Jul</v>
      </c>
      <c r="D333" t="s">
        <v>1522</v>
      </c>
      <c r="E333" t="s">
        <v>1523</v>
      </c>
      <c r="F333" t="s">
        <v>1530</v>
      </c>
      <c r="G333" t="s">
        <v>1548</v>
      </c>
      <c r="H333" t="s">
        <v>1550</v>
      </c>
      <c r="I333">
        <v>2025</v>
      </c>
      <c r="J333" t="s">
        <v>1554</v>
      </c>
      <c r="K333" t="s">
        <v>1556</v>
      </c>
      <c r="L333">
        <v>1601702</v>
      </c>
      <c r="M333">
        <v>1492202</v>
      </c>
      <c r="N333">
        <v>109500</v>
      </c>
      <c r="O333">
        <v>26</v>
      </c>
      <c r="P333" t="str">
        <f t="shared" si="11"/>
        <v>young</v>
      </c>
      <c r="Q333" t="s">
        <v>1559</v>
      </c>
      <c r="R333" t="s">
        <v>1562</v>
      </c>
      <c r="S333" t="s">
        <v>1567</v>
      </c>
      <c r="T333">
        <v>2195350</v>
      </c>
      <c r="U333">
        <v>3</v>
      </c>
      <c r="V333" t="s">
        <v>1587</v>
      </c>
      <c r="W333" t="s">
        <v>1594</v>
      </c>
      <c r="X333">
        <v>6.84</v>
      </c>
    </row>
    <row r="334" spans="1:24" x14ac:dyDescent="0.25">
      <c r="A334" t="s">
        <v>354</v>
      </c>
      <c r="B334" s="4">
        <v>45748</v>
      </c>
      <c r="C334" s="4" t="str">
        <f t="shared" si="10"/>
        <v>Apr</v>
      </c>
      <c r="D334" t="s">
        <v>1522</v>
      </c>
      <c r="E334" t="s">
        <v>1527</v>
      </c>
      <c r="F334" t="s">
        <v>1534</v>
      </c>
      <c r="G334" t="s">
        <v>1541</v>
      </c>
      <c r="H334" t="s">
        <v>1551</v>
      </c>
      <c r="I334">
        <v>2025</v>
      </c>
      <c r="J334" t="s">
        <v>1554</v>
      </c>
      <c r="K334" t="s">
        <v>1557</v>
      </c>
      <c r="L334">
        <v>750146</v>
      </c>
      <c r="M334">
        <v>644995</v>
      </c>
      <c r="N334">
        <v>105151</v>
      </c>
      <c r="O334">
        <v>43</v>
      </c>
      <c r="P334" t="str">
        <f t="shared" si="11"/>
        <v>adult</v>
      </c>
      <c r="Q334" t="s">
        <v>1559</v>
      </c>
      <c r="R334" t="s">
        <v>1564</v>
      </c>
      <c r="S334" t="s">
        <v>1569</v>
      </c>
      <c r="T334">
        <v>827189</v>
      </c>
      <c r="U334">
        <v>1</v>
      </c>
      <c r="V334" t="s">
        <v>1573</v>
      </c>
      <c r="W334" t="s">
        <v>1592</v>
      </c>
      <c r="X334">
        <v>14.02</v>
      </c>
    </row>
    <row r="335" spans="1:24" x14ac:dyDescent="0.25">
      <c r="A335" t="s">
        <v>355</v>
      </c>
      <c r="B335" s="4">
        <v>45789</v>
      </c>
      <c r="C335" s="4" t="str">
        <f t="shared" si="10"/>
        <v>May</v>
      </c>
      <c r="D335" t="s">
        <v>1522</v>
      </c>
      <c r="E335" t="s">
        <v>1526</v>
      </c>
      <c r="F335" t="s">
        <v>1536</v>
      </c>
      <c r="G335" t="s">
        <v>1542</v>
      </c>
      <c r="H335" t="s">
        <v>1550</v>
      </c>
      <c r="I335">
        <v>2023</v>
      </c>
      <c r="J335" t="s">
        <v>1553</v>
      </c>
      <c r="K335" t="s">
        <v>1556</v>
      </c>
      <c r="L335">
        <v>1492548</v>
      </c>
      <c r="M335">
        <v>1323025</v>
      </c>
      <c r="N335">
        <v>169523</v>
      </c>
      <c r="O335">
        <v>55</v>
      </c>
      <c r="P335" t="str">
        <f t="shared" si="11"/>
        <v>senior</v>
      </c>
      <c r="Q335" t="s">
        <v>1559</v>
      </c>
      <c r="R335" t="s">
        <v>1565</v>
      </c>
      <c r="S335" t="s">
        <v>1570</v>
      </c>
      <c r="T335">
        <v>1003571</v>
      </c>
      <c r="U335">
        <v>4</v>
      </c>
      <c r="V335" t="s">
        <v>1572</v>
      </c>
      <c r="W335" t="s">
        <v>1592</v>
      </c>
      <c r="X335">
        <v>11.36</v>
      </c>
    </row>
    <row r="336" spans="1:24" x14ac:dyDescent="0.25">
      <c r="A336" t="s">
        <v>356</v>
      </c>
      <c r="B336" s="4">
        <v>45940</v>
      </c>
      <c r="C336" s="4" t="str">
        <f t="shared" si="10"/>
        <v>Oct</v>
      </c>
      <c r="D336" t="s">
        <v>1522</v>
      </c>
      <c r="E336" t="s">
        <v>1527</v>
      </c>
      <c r="F336" t="s">
        <v>1528</v>
      </c>
      <c r="G336" t="s">
        <v>1543</v>
      </c>
      <c r="H336" t="s">
        <v>1550</v>
      </c>
      <c r="I336">
        <v>2023</v>
      </c>
      <c r="J336" t="s">
        <v>1554</v>
      </c>
      <c r="K336" t="s">
        <v>1556</v>
      </c>
      <c r="L336">
        <v>1214667</v>
      </c>
      <c r="M336">
        <v>1082412</v>
      </c>
      <c r="N336">
        <v>132255</v>
      </c>
      <c r="O336">
        <v>26</v>
      </c>
      <c r="P336" t="str">
        <f t="shared" si="11"/>
        <v>young</v>
      </c>
      <c r="Q336" t="s">
        <v>1558</v>
      </c>
      <c r="R336" t="s">
        <v>1563</v>
      </c>
      <c r="S336" t="s">
        <v>1570</v>
      </c>
      <c r="T336">
        <v>546890</v>
      </c>
      <c r="U336">
        <v>5</v>
      </c>
      <c r="V336" t="s">
        <v>1574</v>
      </c>
      <c r="W336" t="s">
        <v>1593</v>
      </c>
      <c r="X336">
        <v>10.89</v>
      </c>
    </row>
    <row r="337" spans="1:24" x14ac:dyDescent="0.25">
      <c r="A337" t="s">
        <v>357</v>
      </c>
      <c r="B337" s="4">
        <v>45809</v>
      </c>
      <c r="C337" s="4" t="str">
        <f t="shared" si="10"/>
        <v>Jun</v>
      </c>
      <c r="D337" t="s">
        <v>1522</v>
      </c>
      <c r="E337" t="s">
        <v>1524</v>
      </c>
      <c r="F337" t="s">
        <v>1530</v>
      </c>
      <c r="G337" t="s">
        <v>1549</v>
      </c>
      <c r="H337" t="s">
        <v>1551</v>
      </c>
      <c r="I337">
        <v>2024</v>
      </c>
      <c r="J337" t="s">
        <v>1554</v>
      </c>
      <c r="K337" t="s">
        <v>1557</v>
      </c>
      <c r="L337">
        <v>916839</v>
      </c>
      <c r="M337">
        <v>810922</v>
      </c>
      <c r="N337">
        <v>105917</v>
      </c>
      <c r="O337">
        <v>52</v>
      </c>
      <c r="P337" t="str">
        <f t="shared" si="11"/>
        <v>senior</v>
      </c>
      <c r="Q337" t="s">
        <v>1558</v>
      </c>
      <c r="R337" t="s">
        <v>1561</v>
      </c>
      <c r="S337" t="s">
        <v>1567</v>
      </c>
      <c r="T337">
        <v>1831834</v>
      </c>
      <c r="U337">
        <v>1</v>
      </c>
      <c r="V337" t="s">
        <v>1584</v>
      </c>
      <c r="W337" t="s">
        <v>1592</v>
      </c>
      <c r="X337">
        <v>11.55</v>
      </c>
    </row>
    <row r="338" spans="1:24" x14ac:dyDescent="0.25">
      <c r="A338" t="s">
        <v>358</v>
      </c>
      <c r="B338" s="4">
        <v>46095</v>
      </c>
      <c r="C338" s="4" t="str">
        <f t="shared" si="10"/>
        <v>Mar</v>
      </c>
      <c r="D338" t="s">
        <v>1522</v>
      </c>
      <c r="E338" t="s">
        <v>1524</v>
      </c>
      <c r="F338" t="s">
        <v>1530</v>
      </c>
      <c r="G338" t="s">
        <v>1545</v>
      </c>
      <c r="H338" t="s">
        <v>1550</v>
      </c>
      <c r="I338">
        <v>2024</v>
      </c>
      <c r="J338" t="s">
        <v>1554</v>
      </c>
      <c r="K338" t="s">
        <v>1557</v>
      </c>
      <c r="L338">
        <v>1215846</v>
      </c>
      <c r="M338">
        <v>1107542</v>
      </c>
      <c r="N338">
        <v>108304</v>
      </c>
      <c r="O338">
        <v>52</v>
      </c>
      <c r="P338" t="str">
        <f t="shared" si="11"/>
        <v>senior</v>
      </c>
      <c r="Q338" t="s">
        <v>1558</v>
      </c>
      <c r="R338" t="s">
        <v>1562</v>
      </c>
      <c r="S338" t="s">
        <v>1568</v>
      </c>
      <c r="T338">
        <v>758114</v>
      </c>
      <c r="U338">
        <v>3</v>
      </c>
      <c r="V338" t="s">
        <v>1586</v>
      </c>
      <c r="W338" t="s">
        <v>1591</v>
      </c>
      <c r="X338">
        <v>8.91</v>
      </c>
    </row>
    <row r="339" spans="1:24" x14ac:dyDescent="0.25">
      <c r="A339" t="s">
        <v>359</v>
      </c>
      <c r="B339" s="4">
        <v>46183</v>
      </c>
      <c r="C339" s="4" t="str">
        <f t="shared" si="10"/>
        <v>Jun</v>
      </c>
      <c r="D339" t="s">
        <v>1522</v>
      </c>
      <c r="E339" t="s">
        <v>1523</v>
      </c>
      <c r="F339" t="s">
        <v>1528</v>
      </c>
      <c r="G339" t="s">
        <v>1538</v>
      </c>
      <c r="H339" t="s">
        <v>1551</v>
      </c>
      <c r="I339">
        <v>2024</v>
      </c>
      <c r="J339" t="s">
        <v>1554</v>
      </c>
      <c r="K339" t="s">
        <v>1557</v>
      </c>
      <c r="L339">
        <v>789288</v>
      </c>
      <c r="M339">
        <v>770851</v>
      </c>
      <c r="N339">
        <v>18437</v>
      </c>
      <c r="O339">
        <v>41</v>
      </c>
      <c r="P339" t="str">
        <f t="shared" si="11"/>
        <v>adult</v>
      </c>
      <c r="Q339" t="s">
        <v>1558</v>
      </c>
      <c r="R339" t="s">
        <v>1562</v>
      </c>
      <c r="S339" t="s">
        <v>1567</v>
      </c>
      <c r="T339">
        <v>822441</v>
      </c>
      <c r="U339">
        <v>5</v>
      </c>
      <c r="V339" t="s">
        <v>1582</v>
      </c>
      <c r="W339" t="s">
        <v>1592</v>
      </c>
      <c r="X339">
        <v>2.34</v>
      </c>
    </row>
    <row r="340" spans="1:24" x14ac:dyDescent="0.25">
      <c r="A340" t="s">
        <v>360</v>
      </c>
      <c r="B340" s="4">
        <v>45759</v>
      </c>
      <c r="C340" s="4" t="str">
        <f t="shared" si="10"/>
        <v>Apr</v>
      </c>
      <c r="D340" t="s">
        <v>1522</v>
      </c>
      <c r="E340" t="s">
        <v>1523</v>
      </c>
      <c r="F340" t="s">
        <v>1532</v>
      </c>
      <c r="G340" t="s">
        <v>1539</v>
      </c>
      <c r="H340" t="s">
        <v>1552</v>
      </c>
      <c r="I340">
        <v>2025</v>
      </c>
      <c r="J340" t="s">
        <v>1555</v>
      </c>
      <c r="K340" t="s">
        <v>1556</v>
      </c>
      <c r="L340">
        <v>1967451</v>
      </c>
      <c r="M340">
        <v>1779424</v>
      </c>
      <c r="N340">
        <v>188027</v>
      </c>
      <c r="O340">
        <v>58</v>
      </c>
      <c r="P340" t="str">
        <f t="shared" si="11"/>
        <v>senior</v>
      </c>
      <c r="Q340" t="s">
        <v>1558</v>
      </c>
      <c r="R340" t="s">
        <v>1562</v>
      </c>
      <c r="S340" t="s">
        <v>1568</v>
      </c>
      <c r="T340">
        <v>792197</v>
      </c>
      <c r="U340">
        <v>2</v>
      </c>
      <c r="V340" t="s">
        <v>1573</v>
      </c>
      <c r="W340" t="s">
        <v>1592</v>
      </c>
      <c r="X340">
        <v>9.56</v>
      </c>
    </row>
    <row r="341" spans="1:24" x14ac:dyDescent="0.25">
      <c r="A341" t="s">
        <v>361</v>
      </c>
      <c r="B341" s="4">
        <v>45731</v>
      </c>
      <c r="C341" s="4" t="str">
        <f t="shared" si="10"/>
        <v>Mar</v>
      </c>
      <c r="D341" t="s">
        <v>1522</v>
      </c>
      <c r="E341" t="s">
        <v>1524</v>
      </c>
      <c r="F341" t="s">
        <v>1532</v>
      </c>
      <c r="G341" t="s">
        <v>1540</v>
      </c>
      <c r="H341" t="s">
        <v>1552</v>
      </c>
      <c r="I341">
        <v>2024</v>
      </c>
      <c r="J341" t="s">
        <v>1555</v>
      </c>
      <c r="K341" t="s">
        <v>1556</v>
      </c>
      <c r="L341">
        <v>1957864</v>
      </c>
      <c r="M341">
        <v>1716558</v>
      </c>
      <c r="N341">
        <v>241306</v>
      </c>
      <c r="O341">
        <v>28</v>
      </c>
      <c r="P341" t="str">
        <f t="shared" si="11"/>
        <v>young</v>
      </c>
      <c r="Q341" t="s">
        <v>1558</v>
      </c>
      <c r="R341" t="s">
        <v>1561</v>
      </c>
      <c r="S341" t="s">
        <v>1568</v>
      </c>
      <c r="T341">
        <v>1367039</v>
      </c>
      <c r="U341">
        <v>4</v>
      </c>
      <c r="V341" t="s">
        <v>1588</v>
      </c>
      <c r="W341" t="s">
        <v>1591</v>
      </c>
      <c r="X341">
        <v>12.32</v>
      </c>
    </row>
    <row r="342" spans="1:24" x14ac:dyDescent="0.25">
      <c r="A342" t="s">
        <v>362</v>
      </c>
      <c r="B342" s="4">
        <v>46185</v>
      </c>
      <c r="C342" s="4" t="str">
        <f t="shared" si="10"/>
        <v>Jun</v>
      </c>
      <c r="D342" t="s">
        <v>1522</v>
      </c>
      <c r="E342" t="s">
        <v>1527</v>
      </c>
      <c r="F342" t="s">
        <v>1533</v>
      </c>
      <c r="G342" t="s">
        <v>1549</v>
      </c>
      <c r="H342" t="s">
        <v>1552</v>
      </c>
      <c r="I342">
        <v>2024</v>
      </c>
      <c r="J342" t="s">
        <v>1555</v>
      </c>
      <c r="K342" t="s">
        <v>1556</v>
      </c>
      <c r="L342">
        <v>1924730</v>
      </c>
      <c r="M342">
        <v>1768986</v>
      </c>
      <c r="N342">
        <v>155744</v>
      </c>
      <c r="O342">
        <v>29</v>
      </c>
      <c r="P342" t="str">
        <f t="shared" si="11"/>
        <v>young</v>
      </c>
      <c r="Q342" t="s">
        <v>1558</v>
      </c>
      <c r="R342" t="s">
        <v>1566</v>
      </c>
      <c r="S342" t="s">
        <v>1567</v>
      </c>
      <c r="T342">
        <v>479225</v>
      </c>
      <c r="U342">
        <v>2</v>
      </c>
      <c r="V342" t="s">
        <v>1582</v>
      </c>
      <c r="W342" t="s">
        <v>1592</v>
      </c>
      <c r="X342">
        <v>8.09</v>
      </c>
    </row>
    <row r="343" spans="1:24" x14ac:dyDescent="0.25">
      <c r="A343" t="s">
        <v>363</v>
      </c>
      <c r="B343" s="4">
        <v>45889</v>
      </c>
      <c r="C343" s="4" t="str">
        <f t="shared" si="10"/>
        <v>Aug</v>
      </c>
      <c r="D343" t="s">
        <v>1522</v>
      </c>
      <c r="E343" t="s">
        <v>1524</v>
      </c>
      <c r="F343" t="s">
        <v>1536</v>
      </c>
      <c r="G343" t="s">
        <v>1548</v>
      </c>
      <c r="H343" t="s">
        <v>1552</v>
      </c>
      <c r="I343">
        <v>2024</v>
      </c>
      <c r="J343" t="s">
        <v>1555</v>
      </c>
      <c r="K343" t="s">
        <v>1556</v>
      </c>
      <c r="L343">
        <v>1971256</v>
      </c>
      <c r="M343">
        <v>1712613</v>
      </c>
      <c r="N343">
        <v>258643</v>
      </c>
      <c r="O343">
        <v>56</v>
      </c>
      <c r="P343" t="str">
        <f t="shared" si="11"/>
        <v>senior</v>
      </c>
      <c r="Q343" t="s">
        <v>1558</v>
      </c>
      <c r="R343" t="s">
        <v>1564</v>
      </c>
      <c r="S343" t="s">
        <v>1569</v>
      </c>
      <c r="T343">
        <v>2199852</v>
      </c>
      <c r="U343">
        <v>2</v>
      </c>
      <c r="V343" t="s">
        <v>1585</v>
      </c>
      <c r="W343" t="s">
        <v>1594</v>
      </c>
      <c r="X343">
        <v>13.12</v>
      </c>
    </row>
    <row r="344" spans="1:24" x14ac:dyDescent="0.25">
      <c r="A344" t="s">
        <v>364</v>
      </c>
      <c r="B344" s="4">
        <v>45820</v>
      </c>
      <c r="C344" s="4" t="str">
        <f t="shared" si="10"/>
        <v>Jun</v>
      </c>
      <c r="D344" t="s">
        <v>1522</v>
      </c>
      <c r="E344" t="s">
        <v>1523</v>
      </c>
      <c r="F344" t="s">
        <v>1529</v>
      </c>
      <c r="G344" t="s">
        <v>1547</v>
      </c>
      <c r="H344" t="s">
        <v>4</v>
      </c>
      <c r="I344">
        <v>2025</v>
      </c>
      <c r="J344" t="s">
        <v>1554</v>
      </c>
      <c r="K344" t="s">
        <v>1556</v>
      </c>
      <c r="L344">
        <v>1724690</v>
      </c>
      <c r="M344">
        <v>1462296</v>
      </c>
      <c r="N344">
        <v>262394</v>
      </c>
      <c r="O344">
        <v>65</v>
      </c>
      <c r="P344" t="str">
        <f t="shared" si="11"/>
        <v>senior</v>
      </c>
      <c r="Q344" t="s">
        <v>1558</v>
      </c>
      <c r="R344" t="s">
        <v>1563</v>
      </c>
      <c r="S344" t="s">
        <v>1567</v>
      </c>
      <c r="T344">
        <v>1341651</v>
      </c>
      <c r="U344">
        <v>1</v>
      </c>
      <c r="V344" t="s">
        <v>1584</v>
      </c>
      <c r="W344" t="s">
        <v>1592</v>
      </c>
      <c r="X344">
        <v>15.21</v>
      </c>
    </row>
    <row r="345" spans="1:24" x14ac:dyDescent="0.25">
      <c r="A345" t="s">
        <v>365</v>
      </c>
      <c r="B345" s="4">
        <v>45743</v>
      </c>
      <c r="C345" s="4" t="str">
        <f t="shared" si="10"/>
        <v>Mar</v>
      </c>
      <c r="D345" t="s">
        <v>1522</v>
      </c>
      <c r="E345" t="s">
        <v>1525</v>
      </c>
      <c r="F345" t="s">
        <v>1532</v>
      </c>
      <c r="G345" t="s">
        <v>1542</v>
      </c>
      <c r="H345" t="s">
        <v>1550</v>
      </c>
      <c r="I345">
        <v>2022</v>
      </c>
      <c r="J345" t="s">
        <v>1554</v>
      </c>
      <c r="K345" t="s">
        <v>1556</v>
      </c>
      <c r="L345">
        <v>1171628</v>
      </c>
      <c r="M345">
        <v>963029</v>
      </c>
      <c r="N345">
        <v>208599</v>
      </c>
      <c r="O345">
        <v>34</v>
      </c>
      <c r="P345" t="str">
        <f t="shared" si="11"/>
        <v>adult</v>
      </c>
      <c r="Q345" t="s">
        <v>1559</v>
      </c>
      <c r="R345" t="s">
        <v>1566</v>
      </c>
      <c r="S345" t="s">
        <v>1567</v>
      </c>
      <c r="T345">
        <v>2061157</v>
      </c>
      <c r="U345">
        <v>2</v>
      </c>
      <c r="V345" t="s">
        <v>1588</v>
      </c>
      <c r="W345" t="s">
        <v>1591</v>
      </c>
      <c r="X345">
        <v>17.8</v>
      </c>
    </row>
    <row r="346" spans="1:24" x14ac:dyDescent="0.25">
      <c r="A346" t="s">
        <v>366</v>
      </c>
      <c r="B346" s="4">
        <v>45955</v>
      </c>
      <c r="C346" s="4" t="str">
        <f t="shared" si="10"/>
        <v>Oct</v>
      </c>
      <c r="D346" t="s">
        <v>1522</v>
      </c>
      <c r="E346" t="s">
        <v>1525</v>
      </c>
      <c r="F346" t="s">
        <v>1528</v>
      </c>
      <c r="G346" t="s">
        <v>1549</v>
      </c>
      <c r="H346" t="s">
        <v>1550</v>
      </c>
      <c r="I346">
        <v>2025</v>
      </c>
      <c r="J346" t="s">
        <v>1554</v>
      </c>
      <c r="K346" t="s">
        <v>1557</v>
      </c>
      <c r="L346">
        <v>1533375</v>
      </c>
      <c r="M346">
        <v>1287408</v>
      </c>
      <c r="N346">
        <v>245967</v>
      </c>
      <c r="O346">
        <v>33</v>
      </c>
      <c r="P346" t="str">
        <f t="shared" si="11"/>
        <v>adult</v>
      </c>
      <c r="Q346" t="s">
        <v>1558</v>
      </c>
      <c r="R346" t="s">
        <v>1563</v>
      </c>
      <c r="S346" t="s">
        <v>1567</v>
      </c>
      <c r="T346">
        <v>1787726</v>
      </c>
      <c r="U346">
        <v>5</v>
      </c>
      <c r="V346" t="s">
        <v>1574</v>
      </c>
      <c r="W346" t="s">
        <v>1593</v>
      </c>
      <c r="X346">
        <v>16.04</v>
      </c>
    </row>
    <row r="347" spans="1:24" x14ac:dyDescent="0.25">
      <c r="A347" t="s">
        <v>367</v>
      </c>
      <c r="B347" s="4">
        <v>46197</v>
      </c>
      <c r="C347" s="4" t="str">
        <f t="shared" si="10"/>
        <v>Jun</v>
      </c>
      <c r="D347" t="s">
        <v>1522</v>
      </c>
      <c r="E347" t="s">
        <v>1526</v>
      </c>
      <c r="F347" t="s">
        <v>1534</v>
      </c>
      <c r="G347" t="s">
        <v>1541</v>
      </c>
      <c r="H347" t="s">
        <v>1551</v>
      </c>
      <c r="I347">
        <v>2025</v>
      </c>
      <c r="J347" t="s">
        <v>1554</v>
      </c>
      <c r="K347" t="s">
        <v>1556</v>
      </c>
      <c r="L347">
        <v>798839</v>
      </c>
      <c r="M347">
        <v>737547</v>
      </c>
      <c r="N347">
        <v>61292</v>
      </c>
      <c r="O347">
        <v>48</v>
      </c>
      <c r="P347" t="str">
        <f t="shared" si="11"/>
        <v>adult</v>
      </c>
      <c r="Q347" t="s">
        <v>1559</v>
      </c>
      <c r="R347" t="s">
        <v>1566</v>
      </c>
      <c r="S347" t="s">
        <v>1569</v>
      </c>
      <c r="T347">
        <v>808735</v>
      </c>
      <c r="U347">
        <v>4</v>
      </c>
      <c r="V347" t="s">
        <v>1582</v>
      </c>
      <c r="W347" t="s">
        <v>1592</v>
      </c>
      <c r="X347">
        <v>7.67</v>
      </c>
    </row>
    <row r="348" spans="1:24" x14ac:dyDescent="0.25">
      <c r="A348" t="s">
        <v>368</v>
      </c>
      <c r="B348" s="4">
        <v>46119</v>
      </c>
      <c r="C348" s="4" t="str">
        <f t="shared" si="10"/>
        <v>Apr</v>
      </c>
      <c r="D348" t="s">
        <v>1522</v>
      </c>
      <c r="E348" t="s">
        <v>1523</v>
      </c>
      <c r="F348" t="s">
        <v>1529</v>
      </c>
      <c r="G348" t="s">
        <v>1543</v>
      </c>
      <c r="H348" t="s">
        <v>1551</v>
      </c>
      <c r="I348">
        <v>2024</v>
      </c>
      <c r="J348" t="s">
        <v>1554</v>
      </c>
      <c r="K348" t="s">
        <v>1556</v>
      </c>
      <c r="L348">
        <v>776415</v>
      </c>
      <c r="M348">
        <v>756751</v>
      </c>
      <c r="N348">
        <v>19664</v>
      </c>
      <c r="O348">
        <v>43</v>
      </c>
      <c r="P348" t="str">
        <f t="shared" si="11"/>
        <v>adult</v>
      </c>
      <c r="Q348" t="s">
        <v>1558</v>
      </c>
      <c r="R348" t="s">
        <v>1563</v>
      </c>
      <c r="S348" t="s">
        <v>1567</v>
      </c>
      <c r="T348">
        <v>1342976</v>
      </c>
      <c r="U348">
        <v>3</v>
      </c>
      <c r="V348" t="s">
        <v>1580</v>
      </c>
      <c r="W348" t="s">
        <v>1592</v>
      </c>
      <c r="X348">
        <v>2.5299999999999998</v>
      </c>
    </row>
    <row r="349" spans="1:24" x14ac:dyDescent="0.25">
      <c r="A349" t="s">
        <v>369</v>
      </c>
      <c r="B349" s="4">
        <v>45792</v>
      </c>
      <c r="C349" s="4" t="str">
        <f t="shared" si="10"/>
        <v>May</v>
      </c>
      <c r="D349" t="s">
        <v>1522</v>
      </c>
      <c r="E349" t="s">
        <v>1523</v>
      </c>
      <c r="F349" t="s">
        <v>1535</v>
      </c>
      <c r="G349" t="s">
        <v>1544</v>
      </c>
      <c r="H349" t="s">
        <v>4</v>
      </c>
      <c r="I349">
        <v>2022</v>
      </c>
      <c r="J349" t="s">
        <v>1554</v>
      </c>
      <c r="K349" t="s">
        <v>1556</v>
      </c>
      <c r="L349">
        <v>1498779</v>
      </c>
      <c r="M349">
        <v>1267293</v>
      </c>
      <c r="N349">
        <v>231486</v>
      </c>
      <c r="O349">
        <v>65</v>
      </c>
      <c r="P349" t="str">
        <f t="shared" si="11"/>
        <v>senior</v>
      </c>
      <c r="Q349" t="s">
        <v>1558</v>
      </c>
      <c r="R349" t="s">
        <v>1566</v>
      </c>
      <c r="S349" t="s">
        <v>1570</v>
      </c>
      <c r="T349">
        <v>681670</v>
      </c>
      <c r="U349">
        <v>5</v>
      </c>
      <c r="V349" t="s">
        <v>1572</v>
      </c>
      <c r="W349" t="s">
        <v>1592</v>
      </c>
      <c r="X349">
        <v>15.44</v>
      </c>
    </row>
    <row r="350" spans="1:24" x14ac:dyDescent="0.25">
      <c r="A350" t="s">
        <v>370</v>
      </c>
      <c r="B350" s="4">
        <v>45700</v>
      </c>
      <c r="C350" s="4" t="str">
        <f t="shared" si="10"/>
        <v>Feb</v>
      </c>
      <c r="D350" t="s">
        <v>1522</v>
      </c>
      <c r="E350" t="s">
        <v>1526</v>
      </c>
      <c r="F350" t="s">
        <v>1530</v>
      </c>
      <c r="G350" t="s">
        <v>1540</v>
      </c>
      <c r="H350" t="s">
        <v>4</v>
      </c>
      <c r="I350">
        <v>2025</v>
      </c>
      <c r="J350" t="s">
        <v>1554</v>
      </c>
      <c r="K350" t="s">
        <v>1556</v>
      </c>
      <c r="L350">
        <v>1297738</v>
      </c>
      <c r="M350">
        <v>1093423</v>
      </c>
      <c r="N350">
        <v>204315</v>
      </c>
      <c r="O350">
        <v>29</v>
      </c>
      <c r="P350" t="str">
        <f t="shared" si="11"/>
        <v>young</v>
      </c>
      <c r="Q350" t="s">
        <v>1559</v>
      </c>
      <c r="R350" t="s">
        <v>1565</v>
      </c>
      <c r="S350" t="s">
        <v>1567</v>
      </c>
      <c r="T350">
        <v>556362</v>
      </c>
      <c r="U350">
        <v>3</v>
      </c>
      <c r="V350" t="s">
        <v>1578</v>
      </c>
      <c r="W350" t="s">
        <v>1591</v>
      </c>
      <c r="X350">
        <v>15.74</v>
      </c>
    </row>
    <row r="351" spans="1:24" x14ac:dyDescent="0.25">
      <c r="A351" t="s">
        <v>371</v>
      </c>
      <c r="B351" s="4">
        <v>45964</v>
      </c>
      <c r="C351" s="4" t="str">
        <f t="shared" si="10"/>
        <v>Nov</v>
      </c>
      <c r="D351" t="s">
        <v>1522</v>
      </c>
      <c r="E351" t="s">
        <v>1523</v>
      </c>
      <c r="F351" t="s">
        <v>1528</v>
      </c>
      <c r="G351" t="s">
        <v>1542</v>
      </c>
      <c r="H351" t="s">
        <v>1550</v>
      </c>
      <c r="I351">
        <v>2025</v>
      </c>
      <c r="J351" t="s">
        <v>1554</v>
      </c>
      <c r="K351" t="s">
        <v>1557</v>
      </c>
      <c r="L351">
        <v>1541446</v>
      </c>
      <c r="M351">
        <v>1344989</v>
      </c>
      <c r="N351">
        <v>196457</v>
      </c>
      <c r="O351">
        <v>41</v>
      </c>
      <c r="P351" t="str">
        <f t="shared" si="11"/>
        <v>adult</v>
      </c>
      <c r="Q351" t="s">
        <v>1558</v>
      </c>
      <c r="R351" t="s">
        <v>1562</v>
      </c>
      <c r="S351" t="s">
        <v>1567</v>
      </c>
      <c r="T351">
        <v>1980144</v>
      </c>
      <c r="U351">
        <v>5</v>
      </c>
      <c r="V351" t="s">
        <v>1583</v>
      </c>
      <c r="W351" t="s">
        <v>1593</v>
      </c>
      <c r="X351">
        <v>12.74</v>
      </c>
    </row>
    <row r="352" spans="1:24" x14ac:dyDescent="0.25">
      <c r="A352" t="s">
        <v>372</v>
      </c>
      <c r="B352" s="4">
        <v>45930</v>
      </c>
      <c r="C352" s="4" t="str">
        <f t="shared" si="10"/>
        <v>Sep</v>
      </c>
      <c r="D352" t="s">
        <v>1522</v>
      </c>
      <c r="E352" t="s">
        <v>1524</v>
      </c>
      <c r="F352" t="s">
        <v>1536</v>
      </c>
      <c r="G352" t="s">
        <v>1540</v>
      </c>
      <c r="H352" t="s">
        <v>4</v>
      </c>
      <c r="I352">
        <v>2025</v>
      </c>
      <c r="J352" t="s">
        <v>1554</v>
      </c>
      <c r="K352" t="s">
        <v>1556</v>
      </c>
      <c r="L352">
        <v>1298247</v>
      </c>
      <c r="M352">
        <v>1114614</v>
      </c>
      <c r="N352">
        <v>183633</v>
      </c>
      <c r="O352">
        <v>46</v>
      </c>
      <c r="P352" t="str">
        <f t="shared" si="11"/>
        <v>adult</v>
      </c>
      <c r="Q352" t="s">
        <v>1558</v>
      </c>
      <c r="R352" t="s">
        <v>1561</v>
      </c>
      <c r="S352" t="s">
        <v>1567</v>
      </c>
      <c r="T352">
        <v>1872254</v>
      </c>
      <c r="U352">
        <v>3</v>
      </c>
      <c r="V352" t="s">
        <v>1577</v>
      </c>
      <c r="W352" t="s">
        <v>1594</v>
      </c>
      <c r="X352">
        <v>14.14</v>
      </c>
    </row>
    <row r="353" spans="1:24" x14ac:dyDescent="0.25">
      <c r="A353" t="s">
        <v>373</v>
      </c>
      <c r="B353" s="4">
        <v>45826</v>
      </c>
      <c r="C353" s="4" t="str">
        <f t="shared" si="10"/>
        <v>Jun</v>
      </c>
      <c r="D353" t="s">
        <v>1522</v>
      </c>
      <c r="E353" t="s">
        <v>1525</v>
      </c>
      <c r="F353" t="s">
        <v>1532</v>
      </c>
      <c r="G353" t="s">
        <v>1549</v>
      </c>
      <c r="H353" t="s">
        <v>1550</v>
      </c>
      <c r="I353">
        <v>2023</v>
      </c>
      <c r="J353" t="s">
        <v>1554</v>
      </c>
      <c r="K353" t="s">
        <v>1557</v>
      </c>
      <c r="L353">
        <v>1434403</v>
      </c>
      <c r="M353">
        <v>1226524</v>
      </c>
      <c r="N353">
        <v>207879</v>
      </c>
      <c r="O353">
        <v>30</v>
      </c>
      <c r="P353" t="str">
        <f t="shared" si="11"/>
        <v>young</v>
      </c>
      <c r="Q353" t="s">
        <v>1558</v>
      </c>
      <c r="R353" t="s">
        <v>1563</v>
      </c>
      <c r="S353" t="s">
        <v>1567</v>
      </c>
      <c r="T353">
        <v>2003684</v>
      </c>
      <c r="U353">
        <v>3</v>
      </c>
      <c r="V353" t="s">
        <v>1584</v>
      </c>
      <c r="W353" t="s">
        <v>1592</v>
      </c>
      <c r="X353">
        <v>14.49</v>
      </c>
    </row>
    <row r="354" spans="1:24" x14ac:dyDescent="0.25">
      <c r="A354" t="s">
        <v>374</v>
      </c>
      <c r="B354" s="4">
        <v>46111</v>
      </c>
      <c r="C354" s="4" t="str">
        <f t="shared" si="10"/>
        <v>Mar</v>
      </c>
      <c r="D354" t="s">
        <v>1522</v>
      </c>
      <c r="E354" t="s">
        <v>1524</v>
      </c>
      <c r="F354" t="s">
        <v>1535</v>
      </c>
      <c r="G354" t="s">
        <v>1545</v>
      </c>
      <c r="H354" t="s">
        <v>4</v>
      </c>
      <c r="I354">
        <v>2025</v>
      </c>
      <c r="J354" t="s">
        <v>1554</v>
      </c>
      <c r="K354" t="s">
        <v>1556</v>
      </c>
      <c r="L354">
        <v>1303142</v>
      </c>
      <c r="M354">
        <v>1171791</v>
      </c>
      <c r="N354">
        <v>131351</v>
      </c>
      <c r="O354">
        <v>43</v>
      </c>
      <c r="P354" t="str">
        <f t="shared" si="11"/>
        <v>adult</v>
      </c>
      <c r="Q354" t="s">
        <v>1559</v>
      </c>
      <c r="R354" t="s">
        <v>1566</v>
      </c>
      <c r="S354" t="s">
        <v>1567</v>
      </c>
      <c r="T354">
        <v>2059672</v>
      </c>
      <c r="U354">
        <v>1</v>
      </c>
      <c r="V354" t="s">
        <v>1586</v>
      </c>
      <c r="W354" t="s">
        <v>1591</v>
      </c>
      <c r="X354">
        <v>10.08</v>
      </c>
    </row>
    <row r="355" spans="1:24" x14ac:dyDescent="0.25">
      <c r="A355" t="s">
        <v>375</v>
      </c>
      <c r="B355" s="4">
        <v>45868</v>
      </c>
      <c r="C355" s="4" t="str">
        <f t="shared" si="10"/>
        <v>Jul</v>
      </c>
      <c r="D355" t="s">
        <v>1522</v>
      </c>
      <c r="E355" t="s">
        <v>1524</v>
      </c>
      <c r="F355" t="s">
        <v>1536</v>
      </c>
      <c r="G355" t="s">
        <v>1544</v>
      </c>
      <c r="H355" t="s">
        <v>1551</v>
      </c>
      <c r="I355">
        <v>2024</v>
      </c>
      <c r="J355" t="s">
        <v>1554</v>
      </c>
      <c r="K355" t="s">
        <v>1556</v>
      </c>
      <c r="L355">
        <v>957457</v>
      </c>
      <c r="M355">
        <v>846046</v>
      </c>
      <c r="N355">
        <v>111411</v>
      </c>
      <c r="O355">
        <v>61</v>
      </c>
      <c r="P355" t="str">
        <f t="shared" si="11"/>
        <v>senior</v>
      </c>
      <c r="Q355" t="s">
        <v>1558</v>
      </c>
      <c r="R355" t="s">
        <v>1566</v>
      </c>
      <c r="S355" t="s">
        <v>1569</v>
      </c>
      <c r="T355">
        <v>632732</v>
      </c>
      <c r="U355">
        <v>2</v>
      </c>
      <c r="V355" t="s">
        <v>1579</v>
      </c>
      <c r="W355" t="s">
        <v>1594</v>
      </c>
      <c r="X355">
        <v>11.64</v>
      </c>
    </row>
    <row r="356" spans="1:24" x14ac:dyDescent="0.25">
      <c r="A356" t="s">
        <v>376</v>
      </c>
      <c r="B356" s="4">
        <v>45789</v>
      </c>
      <c r="C356" s="4" t="str">
        <f t="shared" si="10"/>
        <v>May</v>
      </c>
      <c r="D356" t="s">
        <v>1522</v>
      </c>
      <c r="E356" t="s">
        <v>1525</v>
      </c>
      <c r="F356" t="s">
        <v>1531</v>
      </c>
      <c r="G356" t="s">
        <v>1542</v>
      </c>
      <c r="H356" t="s">
        <v>4</v>
      </c>
      <c r="I356">
        <v>2022</v>
      </c>
      <c r="J356" t="s">
        <v>1554</v>
      </c>
      <c r="K356" t="s">
        <v>1556</v>
      </c>
      <c r="L356">
        <v>1366043</v>
      </c>
      <c r="M356">
        <v>1118933</v>
      </c>
      <c r="N356">
        <v>247110</v>
      </c>
      <c r="O356">
        <v>23</v>
      </c>
      <c r="P356" t="str">
        <f t="shared" si="11"/>
        <v>young</v>
      </c>
      <c r="Q356" t="s">
        <v>1558</v>
      </c>
      <c r="R356" t="s">
        <v>1566</v>
      </c>
      <c r="S356" t="s">
        <v>1567</v>
      </c>
      <c r="T356">
        <v>2145889</v>
      </c>
      <c r="U356">
        <v>5</v>
      </c>
      <c r="V356" t="s">
        <v>1572</v>
      </c>
      <c r="W356" t="s">
        <v>1592</v>
      </c>
      <c r="X356">
        <v>18.09</v>
      </c>
    </row>
    <row r="357" spans="1:24" x14ac:dyDescent="0.25">
      <c r="A357" t="s">
        <v>377</v>
      </c>
      <c r="B357" s="4">
        <v>45967</v>
      </c>
      <c r="C357" s="4" t="str">
        <f t="shared" si="10"/>
        <v>Nov</v>
      </c>
      <c r="D357" t="s">
        <v>1522</v>
      </c>
      <c r="E357" t="s">
        <v>1523</v>
      </c>
      <c r="F357" t="s">
        <v>1530</v>
      </c>
      <c r="G357" t="s">
        <v>1547</v>
      </c>
      <c r="H357" t="s">
        <v>1550</v>
      </c>
      <c r="I357">
        <v>2025</v>
      </c>
      <c r="J357" t="s">
        <v>1554</v>
      </c>
      <c r="K357" t="s">
        <v>1556</v>
      </c>
      <c r="L357">
        <v>1706911</v>
      </c>
      <c r="M357">
        <v>1520926</v>
      </c>
      <c r="N357">
        <v>185985</v>
      </c>
      <c r="O357">
        <v>43</v>
      </c>
      <c r="P357" t="str">
        <f t="shared" si="11"/>
        <v>adult</v>
      </c>
      <c r="Q357" t="s">
        <v>1558</v>
      </c>
      <c r="R357" t="s">
        <v>1563</v>
      </c>
      <c r="S357" t="s">
        <v>1568</v>
      </c>
      <c r="T357">
        <v>234607</v>
      </c>
      <c r="U357">
        <v>5</v>
      </c>
      <c r="V357" t="s">
        <v>1583</v>
      </c>
      <c r="W357" t="s">
        <v>1593</v>
      </c>
      <c r="X357">
        <v>10.9</v>
      </c>
    </row>
    <row r="358" spans="1:24" x14ac:dyDescent="0.25">
      <c r="A358" t="s">
        <v>378</v>
      </c>
      <c r="B358" s="4">
        <v>45756</v>
      </c>
      <c r="C358" s="4" t="str">
        <f t="shared" si="10"/>
        <v>Apr</v>
      </c>
      <c r="D358" t="s">
        <v>1522</v>
      </c>
      <c r="E358" t="s">
        <v>1524</v>
      </c>
      <c r="F358" t="s">
        <v>1534</v>
      </c>
      <c r="G358" t="s">
        <v>1539</v>
      </c>
      <c r="H358" t="s">
        <v>4</v>
      </c>
      <c r="I358">
        <v>2025</v>
      </c>
      <c r="J358" t="s">
        <v>1554</v>
      </c>
      <c r="K358" t="s">
        <v>1556</v>
      </c>
      <c r="L358">
        <v>1299454</v>
      </c>
      <c r="M358">
        <v>1180167</v>
      </c>
      <c r="N358">
        <v>119287</v>
      </c>
      <c r="O358">
        <v>63</v>
      </c>
      <c r="P358" t="str">
        <f t="shared" si="11"/>
        <v>senior</v>
      </c>
      <c r="Q358" t="s">
        <v>1558</v>
      </c>
      <c r="R358" t="s">
        <v>1563</v>
      </c>
      <c r="S358" t="s">
        <v>1569</v>
      </c>
      <c r="T358">
        <v>1909827</v>
      </c>
      <c r="U358">
        <v>3</v>
      </c>
      <c r="V358" t="s">
        <v>1573</v>
      </c>
      <c r="W358" t="s">
        <v>1592</v>
      </c>
      <c r="X358">
        <v>9.18</v>
      </c>
    </row>
    <row r="359" spans="1:24" x14ac:dyDescent="0.25">
      <c r="A359" t="s">
        <v>379</v>
      </c>
      <c r="B359" s="4">
        <v>45681</v>
      </c>
      <c r="C359" s="4" t="str">
        <f t="shared" si="10"/>
        <v>Jan</v>
      </c>
      <c r="D359" t="s">
        <v>1522</v>
      </c>
      <c r="E359" t="s">
        <v>1525</v>
      </c>
      <c r="F359" t="s">
        <v>1533</v>
      </c>
      <c r="G359" t="s">
        <v>1542</v>
      </c>
      <c r="H359" t="s">
        <v>1551</v>
      </c>
      <c r="I359">
        <v>2025</v>
      </c>
      <c r="J359" t="s">
        <v>1554</v>
      </c>
      <c r="K359" t="s">
        <v>1556</v>
      </c>
      <c r="L359">
        <v>935283</v>
      </c>
      <c r="M359">
        <v>771164</v>
      </c>
      <c r="N359">
        <v>164119</v>
      </c>
      <c r="O359">
        <v>47</v>
      </c>
      <c r="P359" t="str">
        <f t="shared" si="11"/>
        <v>adult</v>
      </c>
      <c r="Q359" t="s">
        <v>1558</v>
      </c>
      <c r="R359" t="s">
        <v>1562</v>
      </c>
      <c r="S359" t="s">
        <v>1568</v>
      </c>
      <c r="T359">
        <v>549862</v>
      </c>
      <c r="U359">
        <v>1</v>
      </c>
      <c r="V359" t="s">
        <v>1571</v>
      </c>
      <c r="W359" t="s">
        <v>1591</v>
      </c>
      <c r="X359">
        <v>17.55</v>
      </c>
    </row>
    <row r="360" spans="1:24" x14ac:dyDescent="0.25">
      <c r="A360" t="s">
        <v>380</v>
      </c>
      <c r="B360" s="4">
        <v>46109</v>
      </c>
      <c r="C360" s="4" t="str">
        <f t="shared" si="10"/>
        <v>Mar</v>
      </c>
      <c r="D360" t="s">
        <v>1522</v>
      </c>
      <c r="E360" t="s">
        <v>1524</v>
      </c>
      <c r="F360" t="s">
        <v>1535</v>
      </c>
      <c r="G360" t="s">
        <v>1541</v>
      </c>
      <c r="H360" t="s">
        <v>4</v>
      </c>
      <c r="I360">
        <v>2024</v>
      </c>
      <c r="J360" t="s">
        <v>1554</v>
      </c>
      <c r="K360" t="s">
        <v>1556</v>
      </c>
      <c r="L360">
        <v>1495003</v>
      </c>
      <c r="M360">
        <v>1353382</v>
      </c>
      <c r="N360">
        <v>141621</v>
      </c>
      <c r="O360">
        <v>37</v>
      </c>
      <c r="P360" t="str">
        <f t="shared" si="11"/>
        <v>adult</v>
      </c>
      <c r="Q360" t="s">
        <v>1558</v>
      </c>
      <c r="R360" t="s">
        <v>1561</v>
      </c>
      <c r="S360" t="s">
        <v>1567</v>
      </c>
      <c r="T360">
        <v>52100</v>
      </c>
      <c r="U360">
        <v>3</v>
      </c>
      <c r="V360" t="s">
        <v>1586</v>
      </c>
      <c r="W360" t="s">
        <v>1591</v>
      </c>
      <c r="X360">
        <v>9.4700000000000006</v>
      </c>
    </row>
    <row r="361" spans="1:24" x14ac:dyDescent="0.25">
      <c r="A361" t="s">
        <v>381</v>
      </c>
      <c r="B361" s="4">
        <v>45964</v>
      </c>
      <c r="C361" s="4" t="str">
        <f t="shared" si="10"/>
        <v>Nov</v>
      </c>
      <c r="D361" t="s">
        <v>1522</v>
      </c>
      <c r="E361" t="s">
        <v>1526</v>
      </c>
      <c r="F361" t="s">
        <v>1535</v>
      </c>
      <c r="G361" t="s">
        <v>1540</v>
      </c>
      <c r="H361" t="s">
        <v>1551</v>
      </c>
      <c r="I361">
        <v>2024</v>
      </c>
      <c r="J361" t="s">
        <v>1554</v>
      </c>
      <c r="K361" t="s">
        <v>1557</v>
      </c>
      <c r="L361">
        <v>853817</v>
      </c>
      <c r="M361">
        <v>786192</v>
      </c>
      <c r="N361">
        <v>67625</v>
      </c>
      <c r="O361">
        <v>58</v>
      </c>
      <c r="P361" t="str">
        <f t="shared" si="11"/>
        <v>senior</v>
      </c>
      <c r="Q361" t="s">
        <v>1559</v>
      </c>
      <c r="R361" t="s">
        <v>1561</v>
      </c>
      <c r="S361" t="s">
        <v>1568</v>
      </c>
      <c r="T361">
        <v>1003744</v>
      </c>
      <c r="U361">
        <v>3</v>
      </c>
      <c r="V361" t="s">
        <v>1583</v>
      </c>
      <c r="W361" t="s">
        <v>1593</v>
      </c>
      <c r="X361">
        <v>7.92</v>
      </c>
    </row>
    <row r="362" spans="1:24" x14ac:dyDescent="0.25">
      <c r="A362" t="s">
        <v>382</v>
      </c>
      <c r="B362" s="4">
        <v>46241</v>
      </c>
      <c r="C362" s="4" t="str">
        <f t="shared" si="10"/>
        <v>Aug</v>
      </c>
      <c r="D362" t="s">
        <v>1522</v>
      </c>
      <c r="E362" t="s">
        <v>1525</v>
      </c>
      <c r="F362" t="s">
        <v>1529</v>
      </c>
      <c r="G362" t="s">
        <v>1544</v>
      </c>
      <c r="H362" t="s">
        <v>1550</v>
      </c>
      <c r="I362">
        <v>2024</v>
      </c>
      <c r="J362" t="s">
        <v>1554</v>
      </c>
      <c r="K362" t="s">
        <v>1556</v>
      </c>
      <c r="L362">
        <v>1583863</v>
      </c>
      <c r="M362">
        <v>1454356</v>
      </c>
      <c r="N362">
        <v>129507</v>
      </c>
      <c r="O362">
        <v>32</v>
      </c>
      <c r="P362" t="str">
        <f t="shared" si="11"/>
        <v>adult</v>
      </c>
      <c r="Q362" t="s">
        <v>1559</v>
      </c>
      <c r="R362" t="s">
        <v>1563</v>
      </c>
      <c r="S362" t="s">
        <v>1567</v>
      </c>
      <c r="T362">
        <v>73769</v>
      </c>
      <c r="U362">
        <v>1</v>
      </c>
      <c r="V362" t="s">
        <v>1576</v>
      </c>
      <c r="W362" t="s">
        <v>1594</v>
      </c>
      <c r="X362">
        <v>8.18</v>
      </c>
    </row>
    <row r="363" spans="1:24" x14ac:dyDescent="0.25">
      <c r="A363" t="s">
        <v>383</v>
      </c>
      <c r="B363" s="4">
        <v>45673</v>
      </c>
      <c r="C363" s="4" t="str">
        <f t="shared" si="10"/>
        <v>Jan</v>
      </c>
      <c r="D363" t="s">
        <v>1522</v>
      </c>
      <c r="E363" t="s">
        <v>1527</v>
      </c>
      <c r="F363" t="s">
        <v>1532</v>
      </c>
      <c r="G363" t="s">
        <v>1549</v>
      </c>
      <c r="H363" t="s">
        <v>4</v>
      </c>
      <c r="I363">
        <v>2024</v>
      </c>
      <c r="J363" t="s">
        <v>1554</v>
      </c>
      <c r="K363" t="s">
        <v>1556</v>
      </c>
      <c r="L363">
        <v>1320274</v>
      </c>
      <c r="M363">
        <v>1221430</v>
      </c>
      <c r="N363">
        <v>98844</v>
      </c>
      <c r="O363">
        <v>52</v>
      </c>
      <c r="P363" t="str">
        <f t="shared" si="11"/>
        <v>senior</v>
      </c>
      <c r="Q363" t="s">
        <v>1558</v>
      </c>
      <c r="R363" t="s">
        <v>1562</v>
      </c>
      <c r="S363" t="s">
        <v>1567</v>
      </c>
      <c r="T363">
        <v>174154</v>
      </c>
      <c r="U363">
        <v>2</v>
      </c>
      <c r="V363" t="s">
        <v>1571</v>
      </c>
      <c r="W363" t="s">
        <v>1591</v>
      </c>
      <c r="X363">
        <v>7.49</v>
      </c>
    </row>
    <row r="364" spans="1:24" x14ac:dyDescent="0.25">
      <c r="A364" t="s">
        <v>384</v>
      </c>
      <c r="B364" s="4">
        <v>45757</v>
      </c>
      <c r="C364" s="4" t="str">
        <f t="shared" si="10"/>
        <v>Apr</v>
      </c>
      <c r="D364" t="s">
        <v>1522</v>
      </c>
      <c r="E364" t="s">
        <v>1525</v>
      </c>
      <c r="F364" t="s">
        <v>1532</v>
      </c>
      <c r="G364" t="s">
        <v>1546</v>
      </c>
      <c r="H364" t="s">
        <v>1550</v>
      </c>
      <c r="I364">
        <v>2024</v>
      </c>
      <c r="J364" t="s">
        <v>1554</v>
      </c>
      <c r="K364" t="s">
        <v>1556</v>
      </c>
      <c r="L364">
        <v>1168010</v>
      </c>
      <c r="M364">
        <v>967752</v>
      </c>
      <c r="N364">
        <v>200258</v>
      </c>
      <c r="O364">
        <v>29</v>
      </c>
      <c r="P364" t="str">
        <f t="shared" si="11"/>
        <v>young</v>
      </c>
      <c r="Q364" t="s">
        <v>1559</v>
      </c>
      <c r="R364" t="s">
        <v>1566</v>
      </c>
      <c r="S364" t="s">
        <v>1570</v>
      </c>
      <c r="T364">
        <v>2015117</v>
      </c>
      <c r="U364">
        <v>1</v>
      </c>
      <c r="V364" t="s">
        <v>1573</v>
      </c>
      <c r="W364" t="s">
        <v>1592</v>
      </c>
      <c r="X364">
        <v>17.149999999999999</v>
      </c>
    </row>
    <row r="365" spans="1:24" x14ac:dyDescent="0.25">
      <c r="A365" t="s">
        <v>385</v>
      </c>
      <c r="B365" s="4">
        <v>45803</v>
      </c>
      <c r="C365" s="4" t="str">
        <f t="shared" si="10"/>
        <v>May</v>
      </c>
      <c r="D365" t="s">
        <v>1522</v>
      </c>
      <c r="E365" t="s">
        <v>1527</v>
      </c>
      <c r="F365" t="s">
        <v>1531</v>
      </c>
      <c r="G365" t="s">
        <v>1545</v>
      </c>
      <c r="H365" t="s">
        <v>1550</v>
      </c>
      <c r="I365">
        <v>2022</v>
      </c>
      <c r="J365" t="s">
        <v>1554</v>
      </c>
      <c r="K365" t="s">
        <v>1557</v>
      </c>
      <c r="L365">
        <v>1628403</v>
      </c>
      <c r="M365">
        <v>1475688</v>
      </c>
      <c r="N365">
        <v>152715</v>
      </c>
      <c r="O365">
        <v>65</v>
      </c>
      <c r="P365" t="str">
        <f t="shared" si="11"/>
        <v>senior</v>
      </c>
      <c r="Q365" t="s">
        <v>1558</v>
      </c>
      <c r="R365" t="s">
        <v>1561</v>
      </c>
      <c r="S365" t="s">
        <v>1568</v>
      </c>
      <c r="T365">
        <v>1721168</v>
      </c>
      <c r="U365">
        <v>5</v>
      </c>
      <c r="V365" t="s">
        <v>1572</v>
      </c>
      <c r="W365" t="s">
        <v>1592</v>
      </c>
      <c r="X365">
        <v>9.3800000000000008</v>
      </c>
    </row>
    <row r="366" spans="1:24" x14ac:dyDescent="0.25">
      <c r="A366" t="s">
        <v>386</v>
      </c>
      <c r="B366" s="4">
        <v>45961</v>
      </c>
      <c r="C366" s="4" t="str">
        <f t="shared" si="10"/>
        <v>Oct</v>
      </c>
      <c r="D366" t="s">
        <v>1522</v>
      </c>
      <c r="E366" t="s">
        <v>1525</v>
      </c>
      <c r="F366" t="s">
        <v>1535</v>
      </c>
      <c r="G366" t="s">
        <v>1543</v>
      </c>
      <c r="H366" t="s">
        <v>1552</v>
      </c>
      <c r="I366">
        <v>2026</v>
      </c>
      <c r="J366" t="s">
        <v>1555</v>
      </c>
      <c r="K366" t="s">
        <v>1556</v>
      </c>
      <c r="L366">
        <v>1851772</v>
      </c>
      <c r="M366">
        <v>1536614</v>
      </c>
      <c r="N366">
        <v>315158</v>
      </c>
      <c r="O366">
        <v>29</v>
      </c>
      <c r="P366" t="str">
        <f t="shared" si="11"/>
        <v>young</v>
      </c>
      <c r="Q366" t="s">
        <v>1558</v>
      </c>
      <c r="R366" t="s">
        <v>1565</v>
      </c>
      <c r="S366" t="s">
        <v>1570</v>
      </c>
      <c r="T366">
        <v>1978930</v>
      </c>
      <c r="U366">
        <v>5</v>
      </c>
      <c r="V366" t="s">
        <v>1574</v>
      </c>
      <c r="W366" t="s">
        <v>1593</v>
      </c>
      <c r="X366">
        <v>17.02</v>
      </c>
    </row>
    <row r="367" spans="1:24" x14ac:dyDescent="0.25">
      <c r="A367" t="s">
        <v>387</v>
      </c>
      <c r="B367" s="4">
        <v>46236</v>
      </c>
      <c r="C367" s="4" t="str">
        <f t="shared" si="10"/>
        <v>Aug</v>
      </c>
      <c r="D367" t="s">
        <v>1522</v>
      </c>
      <c r="E367" t="s">
        <v>1524</v>
      </c>
      <c r="F367" t="s">
        <v>1536</v>
      </c>
      <c r="G367" t="s">
        <v>1548</v>
      </c>
      <c r="H367" t="s">
        <v>1551</v>
      </c>
      <c r="I367">
        <v>2025</v>
      </c>
      <c r="J367" t="s">
        <v>1554</v>
      </c>
      <c r="K367" t="s">
        <v>1556</v>
      </c>
      <c r="L367">
        <v>976703</v>
      </c>
      <c r="M367">
        <v>862046</v>
      </c>
      <c r="N367">
        <v>114657</v>
      </c>
      <c r="O367">
        <v>27</v>
      </c>
      <c r="P367" t="str">
        <f t="shared" si="11"/>
        <v>young</v>
      </c>
      <c r="Q367" t="s">
        <v>1558</v>
      </c>
      <c r="R367" t="s">
        <v>1561</v>
      </c>
      <c r="S367" t="s">
        <v>1570</v>
      </c>
      <c r="T367">
        <v>1659143</v>
      </c>
      <c r="U367">
        <v>2</v>
      </c>
      <c r="V367" t="s">
        <v>1576</v>
      </c>
      <c r="W367" t="s">
        <v>1594</v>
      </c>
      <c r="X367">
        <v>11.74</v>
      </c>
    </row>
    <row r="368" spans="1:24" x14ac:dyDescent="0.25">
      <c r="A368" t="s">
        <v>388</v>
      </c>
      <c r="B368" s="4">
        <v>46186</v>
      </c>
      <c r="C368" s="4" t="str">
        <f t="shared" si="10"/>
        <v>Jun</v>
      </c>
      <c r="D368" t="s">
        <v>1522</v>
      </c>
      <c r="E368" t="s">
        <v>1527</v>
      </c>
      <c r="F368" t="s">
        <v>1537</v>
      </c>
      <c r="G368" t="s">
        <v>1544</v>
      </c>
      <c r="H368" t="s">
        <v>1550</v>
      </c>
      <c r="I368">
        <v>2026</v>
      </c>
      <c r="J368" t="s">
        <v>1554</v>
      </c>
      <c r="K368" t="s">
        <v>1556</v>
      </c>
      <c r="L368">
        <v>1422202</v>
      </c>
      <c r="M368">
        <v>1351130</v>
      </c>
      <c r="N368">
        <v>71072</v>
      </c>
      <c r="O368">
        <v>59</v>
      </c>
      <c r="P368" t="str">
        <f t="shared" si="11"/>
        <v>senior</v>
      </c>
      <c r="Q368" t="s">
        <v>1559</v>
      </c>
      <c r="R368" t="s">
        <v>1564</v>
      </c>
      <c r="S368" t="s">
        <v>1568</v>
      </c>
      <c r="T368">
        <v>414314</v>
      </c>
      <c r="U368">
        <v>2</v>
      </c>
      <c r="V368" t="s">
        <v>1582</v>
      </c>
      <c r="W368" t="s">
        <v>1592</v>
      </c>
      <c r="X368">
        <v>5</v>
      </c>
    </row>
    <row r="369" spans="1:24" x14ac:dyDescent="0.25">
      <c r="A369" t="s">
        <v>389</v>
      </c>
      <c r="B369" s="4">
        <v>46149</v>
      </c>
      <c r="C369" s="4" t="str">
        <f t="shared" si="10"/>
        <v>May</v>
      </c>
      <c r="D369" t="s">
        <v>1522</v>
      </c>
      <c r="E369" t="s">
        <v>1526</v>
      </c>
      <c r="F369" t="s">
        <v>1532</v>
      </c>
      <c r="G369" t="s">
        <v>1545</v>
      </c>
      <c r="H369" t="s">
        <v>4</v>
      </c>
      <c r="I369">
        <v>2024</v>
      </c>
      <c r="J369" t="s">
        <v>1554</v>
      </c>
      <c r="K369" t="s">
        <v>1557</v>
      </c>
      <c r="L369">
        <v>1643936</v>
      </c>
      <c r="M369">
        <v>1387420</v>
      </c>
      <c r="N369">
        <v>256516</v>
      </c>
      <c r="O369">
        <v>28</v>
      </c>
      <c r="P369" t="str">
        <f t="shared" si="11"/>
        <v>young</v>
      </c>
      <c r="Q369" t="s">
        <v>1558</v>
      </c>
      <c r="R369" t="s">
        <v>1566</v>
      </c>
      <c r="S369" t="s">
        <v>1567</v>
      </c>
      <c r="T369">
        <v>890706</v>
      </c>
      <c r="U369">
        <v>2</v>
      </c>
      <c r="V369" t="s">
        <v>1590</v>
      </c>
      <c r="W369" t="s">
        <v>1592</v>
      </c>
      <c r="X369">
        <v>15.6</v>
      </c>
    </row>
    <row r="370" spans="1:24" x14ac:dyDescent="0.25">
      <c r="A370" t="s">
        <v>390</v>
      </c>
      <c r="B370" s="4">
        <v>46033</v>
      </c>
      <c r="C370" s="4" t="str">
        <f t="shared" si="10"/>
        <v>Jan</v>
      </c>
      <c r="D370" t="s">
        <v>1522</v>
      </c>
      <c r="E370" t="s">
        <v>1523</v>
      </c>
      <c r="F370" t="s">
        <v>1529</v>
      </c>
      <c r="G370" t="s">
        <v>1546</v>
      </c>
      <c r="H370" t="s">
        <v>1552</v>
      </c>
      <c r="I370">
        <v>2024</v>
      </c>
      <c r="J370" t="s">
        <v>1555</v>
      </c>
      <c r="K370" t="s">
        <v>1556</v>
      </c>
      <c r="L370">
        <v>1847158</v>
      </c>
      <c r="M370">
        <v>1693374</v>
      </c>
      <c r="N370">
        <v>153784</v>
      </c>
      <c r="O370">
        <v>51</v>
      </c>
      <c r="P370" t="str">
        <f t="shared" si="11"/>
        <v>senior</v>
      </c>
      <c r="Q370" t="s">
        <v>1558</v>
      </c>
      <c r="R370" t="s">
        <v>1561</v>
      </c>
      <c r="S370" t="s">
        <v>1567</v>
      </c>
      <c r="T370">
        <v>1988264</v>
      </c>
      <c r="U370">
        <v>5</v>
      </c>
      <c r="V370" t="s">
        <v>1581</v>
      </c>
      <c r="W370" t="s">
        <v>1591</v>
      </c>
      <c r="X370">
        <v>8.33</v>
      </c>
    </row>
    <row r="371" spans="1:24" x14ac:dyDescent="0.25">
      <c r="A371" t="s">
        <v>391</v>
      </c>
      <c r="B371" s="4">
        <v>46111</v>
      </c>
      <c r="C371" s="4" t="str">
        <f t="shared" si="10"/>
        <v>Mar</v>
      </c>
      <c r="D371" t="s">
        <v>1522</v>
      </c>
      <c r="E371" t="s">
        <v>1524</v>
      </c>
      <c r="F371" t="s">
        <v>1530</v>
      </c>
      <c r="G371" t="s">
        <v>1544</v>
      </c>
      <c r="H371" t="s">
        <v>4</v>
      </c>
      <c r="I371">
        <v>2025</v>
      </c>
      <c r="J371" t="s">
        <v>1554</v>
      </c>
      <c r="K371" t="s">
        <v>1556</v>
      </c>
      <c r="L371">
        <v>1730273</v>
      </c>
      <c r="M371">
        <v>1608845</v>
      </c>
      <c r="N371">
        <v>121428</v>
      </c>
      <c r="O371">
        <v>60</v>
      </c>
      <c r="P371" t="str">
        <f t="shared" si="11"/>
        <v>senior</v>
      </c>
      <c r="Q371" t="s">
        <v>1558</v>
      </c>
      <c r="R371" t="s">
        <v>1561</v>
      </c>
      <c r="S371" t="s">
        <v>1568</v>
      </c>
      <c r="T371">
        <v>1156222</v>
      </c>
      <c r="U371">
        <v>3</v>
      </c>
      <c r="V371" t="s">
        <v>1586</v>
      </c>
      <c r="W371" t="s">
        <v>1591</v>
      </c>
      <c r="X371">
        <v>7.02</v>
      </c>
    </row>
    <row r="372" spans="1:24" x14ac:dyDescent="0.25">
      <c r="A372" t="s">
        <v>392</v>
      </c>
      <c r="B372" s="4">
        <v>46193</v>
      </c>
      <c r="C372" s="4" t="str">
        <f t="shared" si="10"/>
        <v>Jun</v>
      </c>
      <c r="D372" t="s">
        <v>1522</v>
      </c>
      <c r="E372" t="s">
        <v>1527</v>
      </c>
      <c r="F372" t="s">
        <v>1536</v>
      </c>
      <c r="G372" t="s">
        <v>1543</v>
      </c>
      <c r="H372" t="s">
        <v>4</v>
      </c>
      <c r="I372">
        <v>2026</v>
      </c>
      <c r="J372" t="s">
        <v>1554</v>
      </c>
      <c r="K372" t="s">
        <v>1556</v>
      </c>
      <c r="L372">
        <v>1714197</v>
      </c>
      <c r="M372">
        <v>1498691</v>
      </c>
      <c r="N372">
        <v>215506</v>
      </c>
      <c r="O372">
        <v>60</v>
      </c>
      <c r="P372" t="str">
        <f t="shared" si="11"/>
        <v>senior</v>
      </c>
      <c r="Q372" t="s">
        <v>1559</v>
      </c>
      <c r="R372" t="s">
        <v>1563</v>
      </c>
      <c r="S372" t="s">
        <v>1568</v>
      </c>
      <c r="T372">
        <v>922593</v>
      </c>
      <c r="U372">
        <v>2</v>
      </c>
      <c r="V372" t="s">
        <v>1582</v>
      </c>
      <c r="W372" t="s">
        <v>1592</v>
      </c>
      <c r="X372">
        <v>12.57</v>
      </c>
    </row>
    <row r="373" spans="1:24" x14ac:dyDescent="0.25">
      <c r="A373" t="s">
        <v>393</v>
      </c>
      <c r="B373" s="4">
        <v>45852</v>
      </c>
      <c r="C373" s="4" t="str">
        <f t="shared" si="10"/>
        <v>Jul</v>
      </c>
      <c r="D373" t="s">
        <v>1522</v>
      </c>
      <c r="E373" t="s">
        <v>1526</v>
      </c>
      <c r="F373" t="s">
        <v>1530</v>
      </c>
      <c r="G373" t="s">
        <v>1545</v>
      </c>
      <c r="H373" t="s">
        <v>4</v>
      </c>
      <c r="I373">
        <v>2025</v>
      </c>
      <c r="J373" t="s">
        <v>1554</v>
      </c>
      <c r="K373" t="s">
        <v>1557</v>
      </c>
      <c r="L373">
        <v>1509803</v>
      </c>
      <c r="M373">
        <v>1243317</v>
      </c>
      <c r="N373">
        <v>266486</v>
      </c>
      <c r="O373">
        <v>53</v>
      </c>
      <c r="P373" t="str">
        <f t="shared" si="11"/>
        <v>senior</v>
      </c>
      <c r="Q373" t="s">
        <v>1559</v>
      </c>
      <c r="R373" t="s">
        <v>1564</v>
      </c>
      <c r="S373" t="s">
        <v>1568</v>
      </c>
      <c r="T373">
        <v>1440715</v>
      </c>
      <c r="U373">
        <v>4</v>
      </c>
      <c r="V373" t="s">
        <v>1579</v>
      </c>
      <c r="W373" t="s">
        <v>1594</v>
      </c>
      <c r="X373">
        <v>17.649999999999999</v>
      </c>
    </row>
    <row r="374" spans="1:24" x14ac:dyDescent="0.25">
      <c r="A374" t="s">
        <v>394</v>
      </c>
      <c r="B374" s="4">
        <v>46190</v>
      </c>
      <c r="C374" s="4" t="str">
        <f t="shared" si="10"/>
        <v>Jun</v>
      </c>
      <c r="D374" t="s">
        <v>1522</v>
      </c>
      <c r="E374" t="s">
        <v>1523</v>
      </c>
      <c r="F374" t="s">
        <v>1531</v>
      </c>
      <c r="G374" t="s">
        <v>1549</v>
      </c>
      <c r="H374" t="s">
        <v>1550</v>
      </c>
      <c r="I374">
        <v>2023</v>
      </c>
      <c r="J374" t="s">
        <v>1554</v>
      </c>
      <c r="K374" t="s">
        <v>1556</v>
      </c>
      <c r="L374">
        <v>1186595</v>
      </c>
      <c r="M374">
        <v>1108897</v>
      </c>
      <c r="N374">
        <v>77698</v>
      </c>
      <c r="O374">
        <v>59</v>
      </c>
      <c r="P374" t="str">
        <f t="shared" si="11"/>
        <v>senior</v>
      </c>
      <c r="Q374" t="s">
        <v>1558</v>
      </c>
      <c r="R374" t="s">
        <v>1564</v>
      </c>
      <c r="S374" t="s">
        <v>1567</v>
      </c>
      <c r="T374">
        <v>1672001</v>
      </c>
      <c r="U374">
        <v>1</v>
      </c>
      <c r="V374" t="s">
        <v>1582</v>
      </c>
      <c r="W374" t="s">
        <v>1592</v>
      </c>
      <c r="X374">
        <v>6.55</v>
      </c>
    </row>
    <row r="375" spans="1:24" x14ac:dyDescent="0.25">
      <c r="A375" t="s">
        <v>395</v>
      </c>
      <c r="B375" s="4">
        <v>45945</v>
      </c>
      <c r="C375" s="4" t="str">
        <f t="shared" si="10"/>
        <v>Oct</v>
      </c>
      <c r="D375" t="s">
        <v>1522</v>
      </c>
      <c r="E375" t="s">
        <v>1525</v>
      </c>
      <c r="F375" t="s">
        <v>1529</v>
      </c>
      <c r="G375" t="s">
        <v>1548</v>
      </c>
      <c r="H375" t="s">
        <v>1551</v>
      </c>
      <c r="I375">
        <v>2025</v>
      </c>
      <c r="J375" t="s">
        <v>1554</v>
      </c>
      <c r="K375" t="s">
        <v>1557</v>
      </c>
      <c r="L375">
        <v>749863</v>
      </c>
      <c r="M375">
        <v>728495</v>
      </c>
      <c r="N375">
        <v>21368</v>
      </c>
      <c r="O375">
        <v>49</v>
      </c>
      <c r="P375" t="str">
        <f t="shared" si="11"/>
        <v>adult</v>
      </c>
      <c r="Q375" t="s">
        <v>1559</v>
      </c>
      <c r="R375" t="s">
        <v>1565</v>
      </c>
      <c r="S375" t="s">
        <v>1568</v>
      </c>
      <c r="T375">
        <v>65031</v>
      </c>
      <c r="U375">
        <v>5</v>
      </c>
      <c r="V375" t="s">
        <v>1574</v>
      </c>
      <c r="W375" t="s">
        <v>1593</v>
      </c>
      <c r="X375">
        <v>2.85</v>
      </c>
    </row>
    <row r="376" spans="1:24" x14ac:dyDescent="0.25">
      <c r="A376" t="s">
        <v>396</v>
      </c>
      <c r="B376" s="4">
        <v>46182</v>
      </c>
      <c r="C376" s="4" t="str">
        <f t="shared" si="10"/>
        <v>Jun</v>
      </c>
      <c r="D376" t="s">
        <v>1522</v>
      </c>
      <c r="E376" t="s">
        <v>1527</v>
      </c>
      <c r="F376" t="s">
        <v>1535</v>
      </c>
      <c r="G376" t="s">
        <v>1540</v>
      </c>
      <c r="H376" t="s">
        <v>1552</v>
      </c>
      <c r="I376">
        <v>2024</v>
      </c>
      <c r="J376" t="s">
        <v>1555</v>
      </c>
      <c r="K376" t="s">
        <v>1556</v>
      </c>
      <c r="L376">
        <v>1866492</v>
      </c>
      <c r="M376">
        <v>1635979</v>
      </c>
      <c r="N376">
        <v>230513</v>
      </c>
      <c r="O376">
        <v>64</v>
      </c>
      <c r="P376" t="str">
        <f t="shared" si="11"/>
        <v>senior</v>
      </c>
      <c r="Q376" t="s">
        <v>1558</v>
      </c>
      <c r="R376" t="s">
        <v>1563</v>
      </c>
      <c r="S376" t="s">
        <v>1567</v>
      </c>
      <c r="T376">
        <v>1246935</v>
      </c>
      <c r="U376">
        <v>1</v>
      </c>
      <c r="V376" t="s">
        <v>1582</v>
      </c>
      <c r="W376" t="s">
        <v>1592</v>
      </c>
      <c r="X376">
        <v>12.35</v>
      </c>
    </row>
    <row r="377" spans="1:24" x14ac:dyDescent="0.25">
      <c r="A377" t="s">
        <v>397</v>
      </c>
      <c r="B377" s="4">
        <v>45847</v>
      </c>
      <c r="C377" s="4" t="str">
        <f t="shared" si="10"/>
        <v>Jul</v>
      </c>
      <c r="D377" t="s">
        <v>1522</v>
      </c>
      <c r="E377" t="s">
        <v>1524</v>
      </c>
      <c r="F377" t="s">
        <v>1535</v>
      </c>
      <c r="G377" t="s">
        <v>1539</v>
      </c>
      <c r="H377" t="s">
        <v>4</v>
      </c>
      <c r="I377">
        <v>2022</v>
      </c>
      <c r="J377" t="s">
        <v>1553</v>
      </c>
      <c r="K377" t="s">
        <v>1557</v>
      </c>
      <c r="L377">
        <v>1332256</v>
      </c>
      <c r="M377">
        <v>1119967</v>
      </c>
      <c r="N377">
        <v>212289</v>
      </c>
      <c r="O377">
        <v>58</v>
      </c>
      <c r="P377" t="str">
        <f t="shared" si="11"/>
        <v>senior</v>
      </c>
      <c r="Q377" t="s">
        <v>1558</v>
      </c>
      <c r="R377" t="s">
        <v>1565</v>
      </c>
      <c r="S377" t="s">
        <v>1569</v>
      </c>
      <c r="T377">
        <v>608397</v>
      </c>
      <c r="U377">
        <v>3</v>
      </c>
      <c r="V377" t="s">
        <v>1579</v>
      </c>
      <c r="W377" t="s">
        <v>1594</v>
      </c>
      <c r="X377">
        <v>15.93</v>
      </c>
    </row>
    <row r="378" spans="1:24" x14ac:dyDescent="0.25">
      <c r="A378" t="s">
        <v>398</v>
      </c>
      <c r="B378" s="4">
        <v>46138</v>
      </c>
      <c r="C378" s="4" t="str">
        <f t="shared" si="10"/>
        <v>Apr</v>
      </c>
      <c r="D378" t="s">
        <v>1522</v>
      </c>
      <c r="E378" t="s">
        <v>1527</v>
      </c>
      <c r="F378" t="s">
        <v>1536</v>
      </c>
      <c r="G378" t="s">
        <v>1539</v>
      </c>
      <c r="H378" t="s">
        <v>1550</v>
      </c>
      <c r="I378">
        <v>2024</v>
      </c>
      <c r="J378" t="s">
        <v>1554</v>
      </c>
      <c r="K378" t="s">
        <v>1556</v>
      </c>
      <c r="L378">
        <v>1646562</v>
      </c>
      <c r="M378">
        <v>1470162</v>
      </c>
      <c r="N378">
        <v>176400</v>
      </c>
      <c r="O378">
        <v>45</v>
      </c>
      <c r="P378" t="str">
        <f t="shared" si="11"/>
        <v>adult</v>
      </c>
      <c r="Q378" t="s">
        <v>1558</v>
      </c>
      <c r="R378" t="s">
        <v>1565</v>
      </c>
      <c r="S378" t="s">
        <v>1568</v>
      </c>
      <c r="T378">
        <v>1592765</v>
      </c>
      <c r="U378">
        <v>2</v>
      </c>
      <c r="V378" t="s">
        <v>1580</v>
      </c>
      <c r="W378" t="s">
        <v>1592</v>
      </c>
      <c r="X378">
        <v>10.71</v>
      </c>
    </row>
    <row r="379" spans="1:24" x14ac:dyDescent="0.25">
      <c r="A379" t="s">
        <v>399</v>
      </c>
      <c r="B379" s="4">
        <v>46130</v>
      </c>
      <c r="C379" s="4" t="str">
        <f t="shared" si="10"/>
        <v>Apr</v>
      </c>
      <c r="D379" t="s">
        <v>1522</v>
      </c>
      <c r="E379" t="s">
        <v>1527</v>
      </c>
      <c r="F379" t="s">
        <v>1529</v>
      </c>
      <c r="G379" t="s">
        <v>1545</v>
      </c>
      <c r="H379" t="s">
        <v>4</v>
      </c>
      <c r="I379">
        <v>2026</v>
      </c>
      <c r="J379" t="s">
        <v>1554</v>
      </c>
      <c r="K379" t="s">
        <v>1556</v>
      </c>
      <c r="L379">
        <v>1643466</v>
      </c>
      <c r="M379">
        <v>1456381</v>
      </c>
      <c r="N379">
        <v>187085</v>
      </c>
      <c r="O379">
        <v>27</v>
      </c>
      <c r="P379" t="str">
        <f t="shared" si="11"/>
        <v>young</v>
      </c>
      <c r="Q379" t="s">
        <v>1558</v>
      </c>
      <c r="R379" t="s">
        <v>1565</v>
      </c>
      <c r="S379" t="s">
        <v>1567</v>
      </c>
      <c r="T379">
        <v>983164</v>
      </c>
      <c r="U379">
        <v>3</v>
      </c>
      <c r="V379" t="s">
        <v>1580</v>
      </c>
      <c r="W379" t="s">
        <v>1592</v>
      </c>
      <c r="X379">
        <v>11.38</v>
      </c>
    </row>
    <row r="380" spans="1:24" x14ac:dyDescent="0.25">
      <c r="A380" t="s">
        <v>400</v>
      </c>
      <c r="B380" s="4">
        <v>45742</v>
      </c>
      <c r="C380" s="4" t="str">
        <f t="shared" si="10"/>
        <v>Mar</v>
      </c>
      <c r="D380" t="s">
        <v>1522</v>
      </c>
      <c r="E380" t="s">
        <v>1526</v>
      </c>
      <c r="F380" t="s">
        <v>1534</v>
      </c>
      <c r="G380" t="s">
        <v>1545</v>
      </c>
      <c r="H380" t="s">
        <v>4</v>
      </c>
      <c r="I380">
        <v>2024</v>
      </c>
      <c r="J380" t="s">
        <v>1554</v>
      </c>
      <c r="K380" t="s">
        <v>1556</v>
      </c>
      <c r="L380">
        <v>1478082</v>
      </c>
      <c r="M380">
        <v>1251281</v>
      </c>
      <c r="N380">
        <v>226801</v>
      </c>
      <c r="O380">
        <v>32</v>
      </c>
      <c r="P380" t="str">
        <f t="shared" si="11"/>
        <v>adult</v>
      </c>
      <c r="Q380" t="s">
        <v>1559</v>
      </c>
      <c r="R380" t="s">
        <v>1565</v>
      </c>
      <c r="S380" t="s">
        <v>1567</v>
      </c>
      <c r="T380">
        <v>282037</v>
      </c>
      <c r="U380">
        <v>2</v>
      </c>
      <c r="V380" t="s">
        <v>1588</v>
      </c>
      <c r="W380" t="s">
        <v>1591</v>
      </c>
      <c r="X380">
        <v>15.34</v>
      </c>
    </row>
    <row r="381" spans="1:24" x14ac:dyDescent="0.25">
      <c r="A381" t="s">
        <v>401</v>
      </c>
      <c r="B381" s="4">
        <v>45985</v>
      </c>
      <c r="C381" s="4" t="str">
        <f t="shared" si="10"/>
        <v>Nov</v>
      </c>
      <c r="D381" t="s">
        <v>1522</v>
      </c>
      <c r="E381" t="s">
        <v>1523</v>
      </c>
      <c r="F381" t="s">
        <v>1534</v>
      </c>
      <c r="G381" t="s">
        <v>1540</v>
      </c>
      <c r="H381" t="s">
        <v>1550</v>
      </c>
      <c r="I381">
        <v>2025</v>
      </c>
      <c r="J381" t="s">
        <v>1554</v>
      </c>
      <c r="K381" t="s">
        <v>1557</v>
      </c>
      <c r="L381">
        <v>1398439</v>
      </c>
      <c r="M381">
        <v>1157488</v>
      </c>
      <c r="N381">
        <v>240951</v>
      </c>
      <c r="O381">
        <v>57</v>
      </c>
      <c r="P381" t="str">
        <f t="shared" si="11"/>
        <v>senior</v>
      </c>
      <c r="Q381" t="s">
        <v>1558</v>
      </c>
      <c r="R381" t="s">
        <v>1564</v>
      </c>
      <c r="S381" t="s">
        <v>1569</v>
      </c>
      <c r="T381">
        <v>40154</v>
      </c>
      <c r="U381">
        <v>5</v>
      </c>
      <c r="V381" t="s">
        <v>1583</v>
      </c>
      <c r="W381" t="s">
        <v>1593</v>
      </c>
      <c r="X381">
        <v>17.23</v>
      </c>
    </row>
    <row r="382" spans="1:24" x14ac:dyDescent="0.25">
      <c r="A382" t="s">
        <v>402</v>
      </c>
      <c r="B382" s="4">
        <v>45677</v>
      </c>
      <c r="C382" s="4" t="str">
        <f t="shared" si="10"/>
        <v>Jan</v>
      </c>
      <c r="D382" t="s">
        <v>1522</v>
      </c>
      <c r="E382" t="s">
        <v>1523</v>
      </c>
      <c r="F382" t="s">
        <v>1531</v>
      </c>
      <c r="G382" t="s">
        <v>1539</v>
      </c>
      <c r="H382" t="s">
        <v>4</v>
      </c>
      <c r="I382">
        <v>2024</v>
      </c>
      <c r="J382" t="s">
        <v>1554</v>
      </c>
      <c r="K382" t="s">
        <v>1556</v>
      </c>
      <c r="L382">
        <v>1248768</v>
      </c>
      <c r="M382">
        <v>1109347</v>
      </c>
      <c r="N382">
        <v>139421</v>
      </c>
      <c r="O382">
        <v>33</v>
      </c>
      <c r="P382" t="str">
        <f t="shared" si="11"/>
        <v>adult</v>
      </c>
      <c r="Q382" t="s">
        <v>1559</v>
      </c>
      <c r="R382" t="s">
        <v>1562</v>
      </c>
      <c r="S382" t="s">
        <v>1567</v>
      </c>
      <c r="T382">
        <v>282079</v>
      </c>
      <c r="U382">
        <v>5</v>
      </c>
      <c r="V382" t="s">
        <v>1571</v>
      </c>
      <c r="W382" t="s">
        <v>1591</v>
      </c>
      <c r="X382">
        <v>11.16</v>
      </c>
    </row>
    <row r="383" spans="1:24" x14ac:dyDescent="0.25">
      <c r="A383" t="s">
        <v>403</v>
      </c>
      <c r="B383" s="4">
        <v>45716</v>
      </c>
      <c r="C383" s="4" t="str">
        <f t="shared" si="10"/>
        <v>Feb</v>
      </c>
      <c r="D383" t="s">
        <v>1522</v>
      </c>
      <c r="E383" t="s">
        <v>1526</v>
      </c>
      <c r="F383" t="s">
        <v>1534</v>
      </c>
      <c r="G383" t="s">
        <v>1538</v>
      </c>
      <c r="H383" t="s">
        <v>1551</v>
      </c>
      <c r="I383">
        <v>2022</v>
      </c>
      <c r="J383" t="s">
        <v>1554</v>
      </c>
      <c r="K383" t="s">
        <v>1557</v>
      </c>
      <c r="L383">
        <v>891028</v>
      </c>
      <c r="M383">
        <v>864360</v>
      </c>
      <c r="N383">
        <v>26668</v>
      </c>
      <c r="O383">
        <v>54</v>
      </c>
      <c r="P383" t="str">
        <f t="shared" si="11"/>
        <v>senior</v>
      </c>
      <c r="Q383" t="s">
        <v>1558</v>
      </c>
      <c r="R383" t="s">
        <v>1563</v>
      </c>
      <c r="S383" t="s">
        <v>1568</v>
      </c>
      <c r="T383">
        <v>167953</v>
      </c>
      <c r="U383">
        <v>1</v>
      </c>
      <c r="V383" t="s">
        <v>1578</v>
      </c>
      <c r="W383" t="s">
        <v>1591</v>
      </c>
      <c r="X383">
        <v>2.99</v>
      </c>
    </row>
    <row r="384" spans="1:24" x14ac:dyDescent="0.25">
      <c r="A384" t="s">
        <v>404</v>
      </c>
      <c r="B384" s="4">
        <v>45802</v>
      </c>
      <c r="C384" s="4" t="str">
        <f t="shared" si="10"/>
        <v>May</v>
      </c>
      <c r="D384" t="s">
        <v>1522</v>
      </c>
      <c r="E384" t="s">
        <v>1524</v>
      </c>
      <c r="F384" t="s">
        <v>1533</v>
      </c>
      <c r="G384" t="s">
        <v>1547</v>
      </c>
      <c r="H384" t="s">
        <v>1551</v>
      </c>
      <c r="I384">
        <v>2025</v>
      </c>
      <c r="J384" t="s">
        <v>1554</v>
      </c>
      <c r="K384" t="s">
        <v>1556</v>
      </c>
      <c r="L384">
        <v>862247</v>
      </c>
      <c r="M384">
        <v>778155</v>
      </c>
      <c r="N384">
        <v>84092</v>
      </c>
      <c r="O384">
        <v>34</v>
      </c>
      <c r="P384" t="str">
        <f t="shared" si="11"/>
        <v>adult</v>
      </c>
      <c r="Q384" t="s">
        <v>1559</v>
      </c>
      <c r="R384" t="s">
        <v>1566</v>
      </c>
      <c r="S384" t="s">
        <v>1568</v>
      </c>
      <c r="T384">
        <v>1135817</v>
      </c>
      <c r="U384">
        <v>1</v>
      </c>
      <c r="V384" t="s">
        <v>1572</v>
      </c>
      <c r="W384" t="s">
        <v>1592</v>
      </c>
      <c r="X384">
        <v>9.75</v>
      </c>
    </row>
    <row r="385" spans="1:24" x14ac:dyDescent="0.25">
      <c r="A385" t="s">
        <v>405</v>
      </c>
      <c r="B385" s="4">
        <v>45723</v>
      </c>
      <c r="C385" s="4" t="str">
        <f t="shared" si="10"/>
        <v>Mar</v>
      </c>
      <c r="D385" t="s">
        <v>1522</v>
      </c>
      <c r="E385" t="s">
        <v>1526</v>
      </c>
      <c r="F385" t="s">
        <v>1536</v>
      </c>
      <c r="G385" t="s">
        <v>1547</v>
      </c>
      <c r="H385" t="s">
        <v>4</v>
      </c>
      <c r="I385">
        <v>2024</v>
      </c>
      <c r="J385" t="s">
        <v>1554</v>
      </c>
      <c r="K385" t="s">
        <v>1557</v>
      </c>
      <c r="L385">
        <v>1510461</v>
      </c>
      <c r="M385">
        <v>1263238</v>
      </c>
      <c r="N385">
        <v>247223</v>
      </c>
      <c r="O385">
        <v>30</v>
      </c>
      <c r="P385" t="str">
        <f t="shared" si="11"/>
        <v>young</v>
      </c>
      <c r="Q385" t="s">
        <v>1558</v>
      </c>
      <c r="R385" t="s">
        <v>1563</v>
      </c>
      <c r="S385" t="s">
        <v>1567</v>
      </c>
      <c r="T385">
        <v>2040683</v>
      </c>
      <c r="U385">
        <v>5</v>
      </c>
      <c r="V385" t="s">
        <v>1588</v>
      </c>
      <c r="W385" t="s">
        <v>1591</v>
      </c>
      <c r="X385">
        <v>16.37</v>
      </c>
    </row>
    <row r="386" spans="1:24" x14ac:dyDescent="0.25">
      <c r="A386" t="s">
        <v>406</v>
      </c>
      <c r="B386" s="4">
        <v>46148</v>
      </c>
      <c r="C386" s="4" t="str">
        <f t="shared" si="10"/>
        <v>May</v>
      </c>
      <c r="D386" t="s">
        <v>1522</v>
      </c>
      <c r="E386" t="s">
        <v>1526</v>
      </c>
      <c r="F386" t="s">
        <v>1533</v>
      </c>
      <c r="G386" t="s">
        <v>1545</v>
      </c>
      <c r="H386" t="s">
        <v>1551</v>
      </c>
      <c r="I386">
        <v>2023</v>
      </c>
      <c r="J386" t="s">
        <v>1553</v>
      </c>
      <c r="K386" t="s">
        <v>1556</v>
      </c>
      <c r="L386">
        <v>823655</v>
      </c>
      <c r="M386">
        <v>759070</v>
      </c>
      <c r="N386">
        <v>64585</v>
      </c>
      <c r="O386">
        <v>28</v>
      </c>
      <c r="P386" t="str">
        <f t="shared" si="11"/>
        <v>young</v>
      </c>
      <c r="Q386" t="s">
        <v>1558</v>
      </c>
      <c r="R386" t="s">
        <v>1561</v>
      </c>
      <c r="S386" t="s">
        <v>1569</v>
      </c>
      <c r="T386">
        <v>669335</v>
      </c>
      <c r="U386">
        <v>2</v>
      </c>
      <c r="V386" t="s">
        <v>1590</v>
      </c>
      <c r="W386" t="s">
        <v>1592</v>
      </c>
      <c r="X386">
        <v>7.84</v>
      </c>
    </row>
    <row r="387" spans="1:24" x14ac:dyDescent="0.25">
      <c r="A387" t="s">
        <v>407</v>
      </c>
      <c r="B387" s="4">
        <v>46080</v>
      </c>
      <c r="C387" s="4" t="str">
        <f t="shared" ref="C387:C450" si="12">TEXT(B387,"MMM")</f>
        <v>Feb</v>
      </c>
      <c r="D387" t="s">
        <v>1522</v>
      </c>
      <c r="E387" t="s">
        <v>1527</v>
      </c>
      <c r="F387" t="s">
        <v>1529</v>
      </c>
      <c r="G387" t="s">
        <v>1542</v>
      </c>
      <c r="H387" t="s">
        <v>4</v>
      </c>
      <c r="I387">
        <v>2025</v>
      </c>
      <c r="J387" t="s">
        <v>1554</v>
      </c>
      <c r="K387" t="s">
        <v>1556</v>
      </c>
      <c r="L387">
        <v>1666380</v>
      </c>
      <c r="M387">
        <v>1467081</v>
      </c>
      <c r="N387">
        <v>199299</v>
      </c>
      <c r="O387">
        <v>30</v>
      </c>
      <c r="P387" t="str">
        <f t="shared" ref="P387:P450" si="13">IF(O387&gt;50,"senior",IF(O387&gt;30,"adult","young"))</f>
        <v>young</v>
      </c>
      <c r="Q387" t="s">
        <v>1558</v>
      </c>
      <c r="R387" t="s">
        <v>1561</v>
      </c>
      <c r="S387" t="s">
        <v>1570</v>
      </c>
      <c r="T387">
        <v>2174724</v>
      </c>
      <c r="U387">
        <v>5</v>
      </c>
      <c r="V387" t="s">
        <v>1589</v>
      </c>
      <c r="W387" t="s">
        <v>1591</v>
      </c>
      <c r="X387">
        <v>11.96</v>
      </c>
    </row>
    <row r="388" spans="1:24" x14ac:dyDescent="0.25">
      <c r="A388" t="s">
        <v>408</v>
      </c>
      <c r="B388" s="4">
        <v>46224</v>
      </c>
      <c r="C388" s="4" t="str">
        <f t="shared" si="12"/>
        <v>Jul</v>
      </c>
      <c r="D388" t="s">
        <v>1522</v>
      </c>
      <c r="E388" t="s">
        <v>1527</v>
      </c>
      <c r="F388" t="s">
        <v>1536</v>
      </c>
      <c r="G388" t="s">
        <v>1548</v>
      </c>
      <c r="H388" t="s">
        <v>4</v>
      </c>
      <c r="I388">
        <v>2025</v>
      </c>
      <c r="J388" t="s">
        <v>1554</v>
      </c>
      <c r="K388" t="s">
        <v>1557</v>
      </c>
      <c r="L388">
        <v>1413292</v>
      </c>
      <c r="M388">
        <v>1237013</v>
      </c>
      <c r="N388">
        <v>176279</v>
      </c>
      <c r="O388">
        <v>40</v>
      </c>
      <c r="P388" t="str">
        <f t="shared" si="13"/>
        <v>adult</v>
      </c>
      <c r="Q388" t="s">
        <v>1558</v>
      </c>
      <c r="R388" t="s">
        <v>1561</v>
      </c>
      <c r="S388" t="s">
        <v>1569</v>
      </c>
      <c r="T388">
        <v>1362477</v>
      </c>
      <c r="U388">
        <v>5</v>
      </c>
      <c r="V388" t="s">
        <v>1587</v>
      </c>
      <c r="W388" t="s">
        <v>1594</v>
      </c>
      <c r="X388">
        <v>12.47</v>
      </c>
    </row>
    <row r="389" spans="1:24" x14ac:dyDescent="0.25">
      <c r="A389" t="s">
        <v>409</v>
      </c>
      <c r="B389" s="4">
        <v>45754</v>
      </c>
      <c r="C389" s="4" t="str">
        <f t="shared" si="12"/>
        <v>Apr</v>
      </c>
      <c r="D389" t="s">
        <v>1522</v>
      </c>
      <c r="E389" t="s">
        <v>1527</v>
      </c>
      <c r="F389" t="s">
        <v>1529</v>
      </c>
      <c r="G389" t="s">
        <v>1544</v>
      </c>
      <c r="H389" t="s">
        <v>1552</v>
      </c>
      <c r="I389">
        <v>2024</v>
      </c>
      <c r="J389" t="s">
        <v>1555</v>
      </c>
      <c r="K389" t="s">
        <v>1556</v>
      </c>
      <c r="L389">
        <v>1909176</v>
      </c>
      <c r="M389">
        <v>1669542</v>
      </c>
      <c r="N389">
        <v>239634</v>
      </c>
      <c r="O389">
        <v>27</v>
      </c>
      <c r="P389" t="str">
        <f t="shared" si="13"/>
        <v>young</v>
      </c>
      <c r="Q389" t="s">
        <v>1558</v>
      </c>
      <c r="R389" t="s">
        <v>1563</v>
      </c>
      <c r="S389" t="s">
        <v>1569</v>
      </c>
      <c r="T389">
        <v>1501132</v>
      </c>
      <c r="U389">
        <v>2</v>
      </c>
      <c r="V389" t="s">
        <v>1573</v>
      </c>
      <c r="W389" t="s">
        <v>1592</v>
      </c>
      <c r="X389">
        <v>12.55</v>
      </c>
    </row>
    <row r="390" spans="1:24" x14ac:dyDescent="0.25">
      <c r="A390" t="s">
        <v>410</v>
      </c>
      <c r="B390" s="4">
        <v>45959</v>
      </c>
      <c r="C390" s="4" t="str">
        <f t="shared" si="12"/>
        <v>Oct</v>
      </c>
      <c r="D390" t="s">
        <v>1522</v>
      </c>
      <c r="E390" t="s">
        <v>1523</v>
      </c>
      <c r="F390" t="s">
        <v>1532</v>
      </c>
      <c r="G390" t="s">
        <v>1546</v>
      </c>
      <c r="H390" t="s">
        <v>1551</v>
      </c>
      <c r="I390">
        <v>2022</v>
      </c>
      <c r="J390" t="s">
        <v>1554</v>
      </c>
      <c r="K390" t="s">
        <v>1556</v>
      </c>
      <c r="L390">
        <v>771639</v>
      </c>
      <c r="M390">
        <v>686556</v>
      </c>
      <c r="N390">
        <v>85083</v>
      </c>
      <c r="O390">
        <v>34</v>
      </c>
      <c r="P390" t="str">
        <f t="shared" si="13"/>
        <v>adult</v>
      </c>
      <c r="Q390" t="s">
        <v>1558</v>
      </c>
      <c r="R390" t="s">
        <v>1564</v>
      </c>
      <c r="S390" t="s">
        <v>1568</v>
      </c>
      <c r="T390">
        <v>622297</v>
      </c>
      <c r="U390">
        <v>1</v>
      </c>
      <c r="V390" t="s">
        <v>1574</v>
      </c>
      <c r="W390" t="s">
        <v>1593</v>
      </c>
      <c r="X390">
        <v>11.03</v>
      </c>
    </row>
    <row r="391" spans="1:24" x14ac:dyDescent="0.25">
      <c r="A391" t="s">
        <v>411</v>
      </c>
      <c r="B391" s="4">
        <v>45917</v>
      </c>
      <c r="C391" s="4" t="str">
        <f t="shared" si="12"/>
        <v>Sep</v>
      </c>
      <c r="D391" t="s">
        <v>1522</v>
      </c>
      <c r="E391" t="s">
        <v>1526</v>
      </c>
      <c r="F391" t="s">
        <v>1531</v>
      </c>
      <c r="G391" t="s">
        <v>1547</v>
      </c>
      <c r="H391" t="s">
        <v>4</v>
      </c>
      <c r="I391">
        <v>2025</v>
      </c>
      <c r="J391" t="s">
        <v>1554</v>
      </c>
      <c r="K391" t="s">
        <v>1556</v>
      </c>
      <c r="L391">
        <v>1321724</v>
      </c>
      <c r="M391">
        <v>1114796</v>
      </c>
      <c r="N391">
        <v>206928</v>
      </c>
      <c r="O391">
        <v>38</v>
      </c>
      <c r="P391" t="str">
        <f t="shared" si="13"/>
        <v>adult</v>
      </c>
      <c r="Q391" t="s">
        <v>1559</v>
      </c>
      <c r="R391" t="s">
        <v>1561</v>
      </c>
      <c r="S391" t="s">
        <v>1568</v>
      </c>
      <c r="T391">
        <v>1708288</v>
      </c>
      <c r="U391">
        <v>3</v>
      </c>
      <c r="V391" t="s">
        <v>1577</v>
      </c>
      <c r="W391" t="s">
        <v>1594</v>
      </c>
      <c r="X391">
        <v>15.66</v>
      </c>
    </row>
    <row r="392" spans="1:24" x14ac:dyDescent="0.25">
      <c r="A392" t="s">
        <v>412</v>
      </c>
      <c r="B392" s="4">
        <v>46253</v>
      </c>
      <c r="C392" s="4" t="str">
        <f t="shared" si="12"/>
        <v>Aug</v>
      </c>
      <c r="D392" t="s">
        <v>1522</v>
      </c>
      <c r="E392" t="s">
        <v>1527</v>
      </c>
      <c r="F392" t="s">
        <v>1528</v>
      </c>
      <c r="G392" t="s">
        <v>1548</v>
      </c>
      <c r="H392" t="s">
        <v>1550</v>
      </c>
      <c r="I392">
        <v>2025</v>
      </c>
      <c r="J392" t="s">
        <v>1554</v>
      </c>
      <c r="K392" t="s">
        <v>1557</v>
      </c>
      <c r="L392">
        <v>1653856</v>
      </c>
      <c r="M392">
        <v>1433017</v>
      </c>
      <c r="N392">
        <v>220839</v>
      </c>
      <c r="O392">
        <v>29</v>
      </c>
      <c r="P392" t="str">
        <f t="shared" si="13"/>
        <v>young</v>
      </c>
      <c r="Q392" t="s">
        <v>1558</v>
      </c>
      <c r="R392" t="s">
        <v>1564</v>
      </c>
      <c r="S392" t="s">
        <v>1570</v>
      </c>
      <c r="T392">
        <v>1235111</v>
      </c>
      <c r="U392">
        <v>4</v>
      </c>
      <c r="V392" t="s">
        <v>1576</v>
      </c>
      <c r="W392" t="s">
        <v>1594</v>
      </c>
      <c r="X392">
        <v>13.35</v>
      </c>
    </row>
    <row r="393" spans="1:24" x14ac:dyDescent="0.25">
      <c r="A393" t="s">
        <v>413</v>
      </c>
      <c r="B393" s="4">
        <v>46210</v>
      </c>
      <c r="C393" s="4" t="str">
        <f t="shared" si="12"/>
        <v>Jul</v>
      </c>
      <c r="D393" t="s">
        <v>1522</v>
      </c>
      <c r="E393" t="s">
        <v>1527</v>
      </c>
      <c r="F393" t="s">
        <v>1530</v>
      </c>
      <c r="G393" t="s">
        <v>1538</v>
      </c>
      <c r="H393" t="s">
        <v>4</v>
      </c>
      <c r="I393">
        <v>2023</v>
      </c>
      <c r="J393" t="s">
        <v>1553</v>
      </c>
      <c r="K393" t="s">
        <v>1557</v>
      </c>
      <c r="L393">
        <v>1737542</v>
      </c>
      <c r="M393">
        <v>1543953</v>
      </c>
      <c r="N393">
        <v>193589</v>
      </c>
      <c r="O393">
        <v>33</v>
      </c>
      <c r="P393" t="str">
        <f t="shared" si="13"/>
        <v>adult</v>
      </c>
      <c r="Q393" t="s">
        <v>1559</v>
      </c>
      <c r="R393" t="s">
        <v>1562</v>
      </c>
      <c r="S393" t="s">
        <v>1570</v>
      </c>
      <c r="T393">
        <v>477746</v>
      </c>
      <c r="U393">
        <v>2</v>
      </c>
      <c r="V393" t="s">
        <v>1587</v>
      </c>
      <c r="W393" t="s">
        <v>1594</v>
      </c>
      <c r="X393">
        <v>11.14</v>
      </c>
    </row>
    <row r="394" spans="1:24" x14ac:dyDescent="0.25">
      <c r="A394" t="s">
        <v>414</v>
      </c>
      <c r="B394" s="4">
        <v>46141</v>
      </c>
      <c r="C394" s="4" t="str">
        <f t="shared" si="12"/>
        <v>Apr</v>
      </c>
      <c r="D394" t="s">
        <v>1522</v>
      </c>
      <c r="E394" t="s">
        <v>1523</v>
      </c>
      <c r="F394" t="s">
        <v>1532</v>
      </c>
      <c r="G394" t="s">
        <v>1549</v>
      </c>
      <c r="H394" t="s">
        <v>1551</v>
      </c>
      <c r="I394">
        <v>2025</v>
      </c>
      <c r="J394" t="s">
        <v>1554</v>
      </c>
      <c r="K394" t="s">
        <v>1556</v>
      </c>
      <c r="L394">
        <v>969573</v>
      </c>
      <c r="M394">
        <v>934982</v>
      </c>
      <c r="N394">
        <v>34591</v>
      </c>
      <c r="O394">
        <v>46</v>
      </c>
      <c r="P394" t="str">
        <f t="shared" si="13"/>
        <v>adult</v>
      </c>
      <c r="Q394" t="s">
        <v>1558</v>
      </c>
      <c r="R394" t="s">
        <v>1564</v>
      </c>
      <c r="S394" t="s">
        <v>1567</v>
      </c>
      <c r="T394">
        <v>1973090</v>
      </c>
      <c r="U394">
        <v>2</v>
      </c>
      <c r="V394" t="s">
        <v>1580</v>
      </c>
      <c r="W394" t="s">
        <v>1592</v>
      </c>
      <c r="X394">
        <v>3.57</v>
      </c>
    </row>
    <row r="395" spans="1:24" x14ac:dyDescent="0.25">
      <c r="A395" t="s">
        <v>415</v>
      </c>
      <c r="B395" s="4">
        <v>46046</v>
      </c>
      <c r="C395" s="4" t="str">
        <f t="shared" si="12"/>
        <v>Jan</v>
      </c>
      <c r="D395" t="s">
        <v>1522</v>
      </c>
      <c r="E395" t="s">
        <v>1526</v>
      </c>
      <c r="F395" t="s">
        <v>1531</v>
      </c>
      <c r="G395" t="s">
        <v>1538</v>
      </c>
      <c r="H395" t="s">
        <v>4</v>
      </c>
      <c r="I395">
        <v>2024</v>
      </c>
      <c r="J395" t="s">
        <v>1554</v>
      </c>
      <c r="K395" t="s">
        <v>1557</v>
      </c>
      <c r="L395">
        <v>1287215</v>
      </c>
      <c r="M395">
        <v>1118267</v>
      </c>
      <c r="N395">
        <v>168948</v>
      </c>
      <c r="O395">
        <v>54</v>
      </c>
      <c r="P395" t="str">
        <f t="shared" si="13"/>
        <v>senior</v>
      </c>
      <c r="Q395" t="s">
        <v>1558</v>
      </c>
      <c r="R395" t="s">
        <v>1563</v>
      </c>
      <c r="S395" t="s">
        <v>1568</v>
      </c>
      <c r="T395">
        <v>1746119</v>
      </c>
      <c r="U395">
        <v>5</v>
      </c>
      <c r="V395" t="s">
        <v>1581</v>
      </c>
      <c r="W395" t="s">
        <v>1591</v>
      </c>
      <c r="X395">
        <v>13.13</v>
      </c>
    </row>
    <row r="396" spans="1:24" x14ac:dyDescent="0.25">
      <c r="A396" t="s">
        <v>416</v>
      </c>
      <c r="B396" s="4">
        <v>45715</v>
      </c>
      <c r="C396" s="4" t="str">
        <f t="shared" si="12"/>
        <v>Feb</v>
      </c>
      <c r="D396" t="s">
        <v>1522</v>
      </c>
      <c r="E396" t="s">
        <v>1525</v>
      </c>
      <c r="F396" t="s">
        <v>1535</v>
      </c>
      <c r="G396" t="s">
        <v>1544</v>
      </c>
      <c r="H396" t="s">
        <v>1550</v>
      </c>
      <c r="I396">
        <v>2025</v>
      </c>
      <c r="J396" t="s">
        <v>1554</v>
      </c>
      <c r="K396" t="s">
        <v>1556</v>
      </c>
      <c r="L396">
        <v>1527277</v>
      </c>
      <c r="M396">
        <v>1366030</v>
      </c>
      <c r="N396">
        <v>161247</v>
      </c>
      <c r="O396">
        <v>48</v>
      </c>
      <c r="P396" t="str">
        <f t="shared" si="13"/>
        <v>adult</v>
      </c>
      <c r="Q396" t="s">
        <v>1559</v>
      </c>
      <c r="R396" t="s">
        <v>1562</v>
      </c>
      <c r="S396" t="s">
        <v>1567</v>
      </c>
      <c r="T396">
        <v>1721591</v>
      </c>
      <c r="U396">
        <v>3</v>
      </c>
      <c r="V396" t="s">
        <v>1578</v>
      </c>
      <c r="W396" t="s">
        <v>1591</v>
      </c>
      <c r="X396">
        <v>10.56</v>
      </c>
    </row>
    <row r="397" spans="1:24" x14ac:dyDescent="0.25">
      <c r="A397" t="s">
        <v>417</v>
      </c>
      <c r="B397" s="4">
        <v>45944</v>
      </c>
      <c r="C397" s="4" t="str">
        <f t="shared" si="12"/>
        <v>Oct</v>
      </c>
      <c r="D397" t="s">
        <v>1522</v>
      </c>
      <c r="E397" t="s">
        <v>1526</v>
      </c>
      <c r="F397" t="s">
        <v>1531</v>
      </c>
      <c r="G397" t="s">
        <v>1545</v>
      </c>
      <c r="H397" t="s">
        <v>1550</v>
      </c>
      <c r="I397">
        <v>2026</v>
      </c>
      <c r="J397" t="s">
        <v>1554</v>
      </c>
      <c r="K397" t="s">
        <v>1557</v>
      </c>
      <c r="L397">
        <v>1139448</v>
      </c>
      <c r="M397">
        <v>967085</v>
      </c>
      <c r="N397">
        <v>172363</v>
      </c>
      <c r="O397">
        <v>44</v>
      </c>
      <c r="P397" t="str">
        <f t="shared" si="13"/>
        <v>adult</v>
      </c>
      <c r="Q397" t="s">
        <v>1558</v>
      </c>
      <c r="R397" t="s">
        <v>1565</v>
      </c>
      <c r="S397" t="s">
        <v>1569</v>
      </c>
      <c r="T397">
        <v>206111</v>
      </c>
      <c r="U397">
        <v>2</v>
      </c>
      <c r="V397" t="s">
        <v>1574</v>
      </c>
      <c r="W397" t="s">
        <v>1593</v>
      </c>
      <c r="X397">
        <v>15.13</v>
      </c>
    </row>
    <row r="398" spans="1:24" x14ac:dyDescent="0.25">
      <c r="A398" t="s">
        <v>418</v>
      </c>
      <c r="B398" s="4">
        <v>46128</v>
      </c>
      <c r="C398" s="4" t="str">
        <f t="shared" si="12"/>
        <v>Apr</v>
      </c>
      <c r="D398" t="s">
        <v>1522</v>
      </c>
      <c r="E398" t="s">
        <v>1525</v>
      </c>
      <c r="F398" t="s">
        <v>1531</v>
      </c>
      <c r="G398" t="s">
        <v>1538</v>
      </c>
      <c r="H398" t="s">
        <v>4</v>
      </c>
      <c r="I398">
        <v>2023</v>
      </c>
      <c r="J398" t="s">
        <v>1554</v>
      </c>
      <c r="K398" t="s">
        <v>1556</v>
      </c>
      <c r="L398">
        <v>1275773</v>
      </c>
      <c r="M398">
        <v>1057264</v>
      </c>
      <c r="N398">
        <v>218509</v>
      </c>
      <c r="O398">
        <v>52</v>
      </c>
      <c r="P398" t="str">
        <f t="shared" si="13"/>
        <v>senior</v>
      </c>
      <c r="Q398" t="s">
        <v>1559</v>
      </c>
      <c r="R398" t="s">
        <v>1563</v>
      </c>
      <c r="S398" t="s">
        <v>1569</v>
      </c>
      <c r="T398">
        <v>261664</v>
      </c>
      <c r="U398">
        <v>3</v>
      </c>
      <c r="V398" t="s">
        <v>1580</v>
      </c>
      <c r="W398" t="s">
        <v>1592</v>
      </c>
      <c r="X398">
        <v>17.13</v>
      </c>
    </row>
    <row r="399" spans="1:24" x14ac:dyDescent="0.25">
      <c r="A399" t="s">
        <v>419</v>
      </c>
      <c r="B399" s="4">
        <v>45765</v>
      </c>
      <c r="C399" s="4" t="str">
        <f t="shared" si="12"/>
        <v>Apr</v>
      </c>
      <c r="D399" t="s">
        <v>1522</v>
      </c>
      <c r="E399" t="s">
        <v>1524</v>
      </c>
      <c r="F399" t="s">
        <v>1534</v>
      </c>
      <c r="G399" t="s">
        <v>1547</v>
      </c>
      <c r="H399" t="s">
        <v>1550</v>
      </c>
      <c r="I399">
        <v>2024</v>
      </c>
      <c r="J399" t="s">
        <v>1554</v>
      </c>
      <c r="K399" t="s">
        <v>1556</v>
      </c>
      <c r="L399">
        <v>1221132</v>
      </c>
      <c r="M399">
        <v>1000032</v>
      </c>
      <c r="N399">
        <v>221100</v>
      </c>
      <c r="O399">
        <v>47</v>
      </c>
      <c r="P399" t="str">
        <f t="shared" si="13"/>
        <v>adult</v>
      </c>
      <c r="Q399" t="s">
        <v>1560</v>
      </c>
      <c r="R399" t="s">
        <v>1563</v>
      </c>
      <c r="S399" t="s">
        <v>1568</v>
      </c>
      <c r="T399">
        <v>1290681</v>
      </c>
      <c r="U399">
        <v>2</v>
      </c>
      <c r="V399" t="s">
        <v>1573</v>
      </c>
      <c r="W399" t="s">
        <v>1592</v>
      </c>
      <c r="X399">
        <v>18.11</v>
      </c>
    </row>
    <row r="400" spans="1:24" x14ac:dyDescent="0.25">
      <c r="A400" t="s">
        <v>420</v>
      </c>
      <c r="B400" s="4">
        <v>45864</v>
      </c>
      <c r="C400" s="4" t="str">
        <f t="shared" si="12"/>
        <v>Jul</v>
      </c>
      <c r="D400" t="s">
        <v>1522</v>
      </c>
      <c r="E400" t="s">
        <v>1523</v>
      </c>
      <c r="F400" t="s">
        <v>1531</v>
      </c>
      <c r="G400" t="s">
        <v>1538</v>
      </c>
      <c r="H400" t="s">
        <v>1551</v>
      </c>
      <c r="I400">
        <v>2025</v>
      </c>
      <c r="J400" t="s">
        <v>1554</v>
      </c>
      <c r="K400" t="s">
        <v>1556</v>
      </c>
      <c r="L400">
        <v>886215</v>
      </c>
      <c r="M400">
        <v>804404</v>
      </c>
      <c r="N400">
        <v>81811</v>
      </c>
      <c r="O400">
        <v>52</v>
      </c>
      <c r="P400" t="str">
        <f t="shared" si="13"/>
        <v>senior</v>
      </c>
      <c r="Q400" t="s">
        <v>1559</v>
      </c>
      <c r="R400" t="s">
        <v>1565</v>
      </c>
      <c r="S400" t="s">
        <v>1567</v>
      </c>
      <c r="T400">
        <v>1741746</v>
      </c>
      <c r="U400">
        <v>4</v>
      </c>
      <c r="V400" t="s">
        <v>1579</v>
      </c>
      <c r="W400" t="s">
        <v>1594</v>
      </c>
      <c r="X400">
        <v>9.23</v>
      </c>
    </row>
    <row r="401" spans="1:24" x14ac:dyDescent="0.25">
      <c r="A401" t="s">
        <v>421</v>
      </c>
      <c r="B401" s="4">
        <v>46144</v>
      </c>
      <c r="C401" s="4" t="str">
        <f t="shared" si="12"/>
        <v>May</v>
      </c>
      <c r="D401" t="s">
        <v>1522</v>
      </c>
      <c r="E401" t="s">
        <v>1525</v>
      </c>
      <c r="F401" t="s">
        <v>1537</v>
      </c>
      <c r="G401" t="s">
        <v>1542</v>
      </c>
      <c r="H401" t="s">
        <v>1551</v>
      </c>
      <c r="I401">
        <v>2026</v>
      </c>
      <c r="J401" t="s">
        <v>1554</v>
      </c>
      <c r="K401" t="s">
        <v>1556</v>
      </c>
      <c r="L401">
        <v>995204</v>
      </c>
      <c r="M401">
        <v>912398</v>
      </c>
      <c r="N401">
        <v>82806</v>
      </c>
      <c r="O401">
        <v>52</v>
      </c>
      <c r="P401" t="str">
        <f t="shared" si="13"/>
        <v>senior</v>
      </c>
      <c r="Q401" t="s">
        <v>1558</v>
      </c>
      <c r="R401" t="s">
        <v>1565</v>
      </c>
      <c r="S401" t="s">
        <v>1567</v>
      </c>
      <c r="T401">
        <v>764502</v>
      </c>
      <c r="U401">
        <v>3</v>
      </c>
      <c r="V401" t="s">
        <v>1590</v>
      </c>
      <c r="W401" t="s">
        <v>1592</v>
      </c>
      <c r="X401">
        <v>8.32</v>
      </c>
    </row>
    <row r="402" spans="1:24" x14ac:dyDescent="0.25">
      <c r="A402" t="s">
        <v>422</v>
      </c>
      <c r="B402" s="4">
        <v>45919</v>
      </c>
      <c r="C402" s="4" t="str">
        <f t="shared" si="12"/>
        <v>Sep</v>
      </c>
      <c r="D402" t="s">
        <v>1522</v>
      </c>
      <c r="E402" t="s">
        <v>1524</v>
      </c>
      <c r="F402" t="s">
        <v>1532</v>
      </c>
      <c r="G402" t="s">
        <v>1544</v>
      </c>
      <c r="H402" t="s">
        <v>4</v>
      </c>
      <c r="I402">
        <v>2025</v>
      </c>
      <c r="J402" t="s">
        <v>1554</v>
      </c>
      <c r="K402" t="s">
        <v>1556</v>
      </c>
      <c r="L402">
        <v>1647901</v>
      </c>
      <c r="M402">
        <v>1420737</v>
      </c>
      <c r="N402">
        <v>227164</v>
      </c>
      <c r="O402">
        <v>24</v>
      </c>
      <c r="P402" t="str">
        <f t="shared" si="13"/>
        <v>young</v>
      </c>
      <c r="Q402" t="s">
        <v>1558</v>
      </c>
      <c r="R402" t="s">
        <v>1563</v>
      </c>
      <c r="S402" t="s">
        <v>1567</v>
      </c>
      <c r="T402">
        <v>1353956</v>
      </c>
      <c r="U402">
        <v>3</v>
      </c>
      <c r="V402" t="s">
        <v>1577</v>
      </c>
      <c r="W402" t="s">
        <v>1594</v>
      </c>
      <c r="X402">
        <v>13.79</v>
      </c>
    </row>
    <row r="403" spans="1:24" x14ac:dyDescent="0.25">
      <c r="A403" t="s">
        <v>423</v>
      </c>
      <c r="B403" s="4">
        <v>45727</v>
      </c>
      <c r="C403" s="4" t="str">
        <f t="shared" si="12"/>
        <v>Mar</v>
      </c>
      <c r="D403" t="s">
        <v>1522</v>
      </c>
      <c r="E403" t="s">
        <v>1527</v>
      </c>
      <c r="F403" t="s">
        <v>1534</v>
      </c>
      <c r="G403" t="s">
        <v>1549</v>
      </c>
      <c r="H403" t="s">
        <v>4</v>
      </c>
      <c r="I403">
        <v>2025</v>
      </c>
      <c r="J403" t="s">
        <v>1554</v>
      </c>
      <c r="K403" t="s">
        <v>1557</v>
      </c>
      <c r="L403">
        <v>1361321</v>
      </c>
      <c r="M403">
        <v>1274961</v>
      </c>
      <c r="N403">
        <v>86360</v>
      </c>
      <c r="O403">
        <v>41</v>
      </c>
      <c r="P403" t="str">
        <f t="shared" si="13"/>
        <v>adult</v>
      </c>
      <c r="Q403" t="s">
        <v>1558</v>
      </c>
      <c r="R403" t="s">
        <v>1564</v>
      </c>
      <c r="S403" t="s">
        <v>1569</v>
      </c>
      <c r="T403">
        <v>1982809</v>
      </c>
      <c r="U403">
        <v>4</v>
      </c>
      <c r="V403" t="s">
        <v>1588</v>
      </c>
      <c r="W403" t="s">
        <v>1591</v>
      </c>
      <c r="X403">
        <v>6.34</v>
      </c>
    </row>
    <row r="404" spans="1:24" x14ac:dyDescent="0.25">
      <c r="A404" t="s">
        <v>424</v>
      </c>
      <c r="B404" s="4">
        <v>46085</v>
      </c>
      <c r="C404" s="4" t="str">
        <f t="shared" si="12"/>
        <v>Mar</v>
      </c>
      <c r="D404" t="s">
        <v>1522</v>
      </c>
      <c r="E404" t="s">
        <v>1526</v>
      </c>
      <c r="F404" t="s">
        <v>1534</v>
      </c>
      <c r="G404" t="s">
        <v>1548</v>
      </c>
      <c r="H404" t="s">
        <v>1551</v>
      </c>
      <c r="I404">
        <v>2026</v>
      </c>
      <c r="J404" t="s">
        <v>1554</v>
      </c>
      <c r="K404" t="s">
        <v>1557</v>
      </c>
      <c r="L404">
        <v>944191</v>
      </c>
      <c r="M404">
        <v>876572</v>
      </c>
      <c r="N404">
        <v>67619</v>
      </c>
      <c r="O404">
        <v>42</v>
      </c>
      <c r="P404" t="str">
        <f t="shared" si="13"/>
        <v>adult</v>
      </c>
      <c r="Q404" t="s">
        <v>1558</v>
      </c>
      <c r="R404" t="s">
        <v>1561</v>
      </c>
      <c r="S404" t="s">
        <v>1567</v>
      </c>
      <c r="T404">
        <v>241730</v>
      </c>
      <c r="U404">
        <v>3</v>
      </c>
      <c r="V404" t="s">
        <v>1586</v>
      </c>
      <c r="W404" t="s">
        <v>1591</v>
      </c>
      <c r="X404">
        <v>7.16</v>
      </c>
    </row>
    <row r="405" spans="1:24" x14ac:dyDescent="0.25">
      <c r="A405" t="s">
        <v>425</v>
      </c>
      <c r="B405" s="4">
        <v>45839</v>
      </c>
      <c r="C405" s="4" t="str">
        <f t="shared" si="12"/>
        <v>Jul</v>
      </c>
      <c r="D405" t="s">
        <v>1522</v>
      </c>
      <c r="E405" t="s">
        <v>1523</v>
      </c>
      <c r="F405" t="s">
        <v>1537</v>
      </c>
      <c r="G405" t="s">
        <v>1548</v>
      </c>
      <c r="H405" t="s">
        <v>4</v>
      </c>
      <c r="I405">
        <v>2023</v>
      </c>
      <c r="J405" t="s">
        <v>1554</v>
      </c>
      <c r="K405" t="s">
        <v>1556</v>
      </c>
      <c r="L405">
        <v>1734854</v>
      </c>
      <c r="M405">
        <v>1574810</v>
      </c>
      <c r="N405">
        <v>160044</v>
      </c>
      <c r="O405">
        <v>38</v>
      </c>
      <c r="P405" t="str">
        <f t="shared" si="13"/>
        <v>adult</v>
      </c>
      <c r="Q405" t="s">
        <v>1560</v>
      </c>
      <c r="R405" t="s">
        <v>1562</v>
      </c>
      <c r="S405" t="s">
        <v>1567</v>
      </c>
      <c r="T405">
        <v>1862828</v>
      </c>
      <c r="U405">
        <v>1</v>
      </c>
      <c r="V405" t="s">
        <v>1579</v>
      </c>
      <c r="W405" t="s">
        <v>1594</v>
      </c>
      <c r="X405">
        <v>9.23</v>
      </c>
    </row>
    <row r="406" spans="1:24" x14ac:dyDescent="0.25">
      <c r="A406" t="s">
        <v>426</v>
      </c>
      <c r="B406" s="4">
        <v>46171</v>
      </c>
      <c r="C406" s="4" t="str">
        <f t="shared" si="12"/>
        <v>May</v>
      </c>
      <c r="D406" t="s">
        <v>1522</v>
      </c>
      <c r="E406" t="s">
        <v>1527</v>
      </c>
      <c r="F406" t="s">
        <v>1530</v>
      </c>
      <c r="G406" t="s">
        <v>1545</v>
      </c>
      <c r="H406" t="s">
        <v>4</v>
      </c>
      <c r="I406">
        <v>2025</v>
      </c>
      <c r="J406" t="s">
        <v>1554</v>
      </c>
      <c r="K406" t="s">
        <v>1556</v>
      </c>
      <c r="L406">
        <v>1272362</v>
      </c>
      <c r="M406">
        <v>1160128</v>
      </c>
      <c r="N406">
        <v>112234</v>
      </c>
      <c r="O406">
        <v>61</v>
      </c>
      <c r="P406" t="str">
        <f t="shared" si="13"/>
        <v>senior</v>
      </c>
      <c r="Q406" t="s">
        <v>1559</v>
      </c>
      <c r="R406" t="s">
        <v>1566</v>
      </c>
      <c r="S406" t="s">
        <v>1567</v>
      </c>
      <c r="T406">
        <v>497120</v>
      </c>
      <c r="U406">
        <v>3</v>
      </c>
      <c r="V406" t="s">
        <v>1590</v>
      </c>
      <c r="W406" t="s">
        <v>1592</v>
      </c>
      <c r="X406">
        <v>8.82</v>
      </c>
    </row>
    <row r="407" spans="1:24" x14ac:dyDescent="0.25">
      <c r="A407" t="s">
        <v>427</v>
      </c>
      <c r="B407" s="4">
        <v>45919</v>
      </c>
      <c r="C407" s="4" t="str">
        <f t="shared" si="12"/>
        <v>Sep</v>
      </c>
      <c r="D407" t="s">
        <v>1522</v>
      </c>
      <c r="E407" t="s">
        <v>1523</v>
      </c>
      <c r="F407" t="s">
        <v>1529</v>
      </c>
      <c r="G407" t="s">
        <v>1547</v>
      </c>
      <c r="H407" t="s">
        <v>1550</v>
      </c>
      <c r="I407">
        <v>2025</v>
      </c>
      <c r="J407" t="s">
        <v>1554</v>
      </c>
      <c r="K407" t="s">
        <v>1556</v>
      </c>
      <c r="L407">
        <v>1320191</v>
      </c>
      <c r="M407">
        <v>1115403</v>
      </c>
      <c r="N407">
        <v>204788</v>
      </c>
      <c r="O407">
        <v>55</v>
      </c>
      <c r="P407" t="str">
        <f t="shared" si="13"/>
        <v>senior</v>
      </c>
      <c r="Q407" t="s">
        <v>1559</v>
      </c>
      <c r="R407" t="s">
        <v>1563</v>
      </c>
      <c r="S407" t="s">
        <v>1567</v>
      </c>
      <c r="T407">
        <v>1071645</v>
      </c>
      <c r="U407">
        <v>1</v>
      </c>
      <c r="V407" t="s">
        <v>1577</v>
      </c>
      <c r="W407" t="s">
        <v>1594</v>
      </c>
      <c r="X407">
        <v>15.51</v>
      </c>
    </row>
    <row r="408" spans="1:24" x14ac:dyDescent="0.25">
      <c r="A408" t="s">
        <v>428</v>
      </c>
      <c r="B408" s="4">
        <v>45834</v>
      </c>
      <c r="C408" s="4" t="str">
        <f t="shared" si="12"/>
        <v>Jun</v>
      </c>
      <c r="D408" t="s">
        <v>1522</v>
      </c>
      <c r="E408" t="s">
        <v>1524</v>
      </c>
      <c r="F408" t="s">
        <v>1536</v>
      </c>
      <c r="G408" t="s">
        <v>1542</v>
      </c>
      <c r="H408" t="s">
        <v>4</v>
      </c>
      <c r="I408">
        <v>2024</v>
      </c>
      <c r="J408" t="s">
        <v>1554</v>
      </c>
      <c r="K408" t="s">
        <v>1556</v>
      </c>
      <c r="L408">
        <v>1777610</v>
      </c>
      <c r="M408">
        <v>1658154</v>
      </c>
      <c r="N408">
        <v>119456</v>
      </c>
      <c r="O408">
        <v>24</v>
      </c>
      <c r="P408" t="str">
        <f t="shared" si="13"/>
        <v>young</v>
      </c>
      <c r="Q408" t="s">
        <v>1558</v>
      </c>
      <c r="R408" t="s">
        <v>1565</v>
      </c>
      <c r="S408" t="s">
        <v>1567</v>
      </c>
      <c r="T408">
        <v>1152218</v>
      </c>
      <c r="U408">
        <v>1</v>
      </c>
      <c r="V408" t="s">
        <v>1584</v>
      </c>
      <c r="W408" t="s">
        <v>1592</v>
      </c>
      <c r="X408">
        <v>6.72</v>
      </c>
    </row>
    <row r="409" spans="1:24" x14ac:dyDescent="0.25">
      <c r="A409" t="s">
        <v>429</v>
      </c>
      <c r="B409" s="4">
        <v>46104</v>
      </c>
      <c r="C409" s="4" t="str">
        <f t="shared" si="12"/>
        <v>Mar</v>
      </c>
      <c r="D409" t="s">
        <v>1522</v>
      </c>
      <c r="E409" t="s">
        <v>1525</v>
      </c>
      <c r="F409" t="s">
        <v>1535</v>
      </c>
      <c r="G409" t="s">
        <v>1549</v>
      </c>
      <c r="H409" t="s">
        <v>1550</v>
      </c>
      <c r="I409">
        <v>2025</v>
      </c>
      <c r="J409" t="s">
        <v>1554</v>
      </c>
      <c r="K409" t="s">
        <v>1557</v>
      </c>
      <c r="L409">
        <v>1383640</v>
      </c>
      <c r="M409">
        <v>1236364</v>
      </c>
      <c r="N409">
        <v>147276</v>
      </c>
      <c r="O409">
        <v>30</v>
      </c>
      <c r="P409" t="str">
        <f t="shared" si="13"/>
        <v>young</v>
      </c>
      <c r="Q409" t="s">
        <v>1560</v>
      </c>
      <c r="R409" t="s">
        <v>1566</v>
      </c>
      <c r="S409" t="s">
        <v>1567</v>
      </c>
      <c r="T409">
        <v>996382</v>
      </c>
      <c r="U409">
        <v>3</v>
      </c>
      <c r="V409" t="s">
        <v>1586</v>
      </c>
      <c r="W409" t="s">
        <v>1591</v>
      </c>
      <c r="X409">
        <v>10.64</v>
      </c>
    </row>
    <row r="410" spans="1:24" x14ac:dyDescent="0.25">
      <c r="A410" t="s">
        <v>430</v>
      </c>
      <c r="B410" s="4">
        <v>46165</v>
      </c>
      <c r="C410" s="4" t="str">
        <f t="shared" si="12"/>
        <v>May</v>
      </c>
      <c r="D410" t="s">
        <v>1522</v>
      </c>
      <c r="E410" t="s">
        <v>1525</v>
      </c>
      <c r="F410" t="s">
        <v>1533</v>
      </c>
      <c r="G410" t="s">
        <v>1543</v>
      </c>
      <c r="H410" t="s">
        <v>4</v>
      </c>
      <c r="I410">
        <v>2024</v>
      </c>
      <c r="J410" t="s">
        <v>1554</v>
      </c>
      <c r="K410" t="s">
        <v>1556</v>
      </c>
      <c r="L410">
        <v>1398611</v>
      </c>
      <c r="M410">
        <v>1344869</v>
      </c>
      <c r="N410">
        <v>53742</v>
      </c>
      <c r="O410">
        <v>45</v>
      </c>
      <c r="P410" t="str">
        <f t="shared" si="13"/>
        <v>adult</v>
      </c>
      <c r="Q410" t="s">
        <v>1558</v>
      </c>
      <c r="R410" t="s">
        <v>1563</v>
      </c>
      <c r="S410" t="s">
        <v>1567</v>
      </c>
      <c r="T410">
        <v>1232473</v>
      </c>
      <c r="U410">
        <v>5</v>
      </c>
      <c r="V410" t="s">
        <v>1590</v>
      </c>
      <c r="W410" t="s">
        <v>1592</v>
      </c>
      <c r="X410">
        <v>3.84</v>
      </c>
    </row>
    <row r="411" spans="1:24" x14ac:dyDescent="0.25">
      <c r="A411" t="s">
        <v>431</v>
      </c>
      <c r="B411" s="4">
        <v>45690</v>
      </c>
      <c r="C411" s="4" t="str">
        <f t="shared" si="12"/>
        <v>Feb</v>
      </c>
      <c r="D411" t="s">
        <v>1522</v>
      </c>
      <c r="E411" t="s">
        <v>1524</v>
      </c>
      <c r="F411" t="s">
        <v>1530</v>
      </c>
      <c r="G411" t="s">
        <v>1542</v>
      </c>
      <c r="H411" t="s">
        <v>1550</v>
      </c>
      <c r="I411">
        <v>2022</v>
      </c>
      <c r="J411" t="s">
        <v>1554</v>
      </c>
      <c r="K411" t="s">
        <v>1556</v>
      </c>
      <c r="L411">
        <v>1265687</v>
      </c>
      <c r="M411">
        <v>1130370</v>
      </c>
      <c r="N411">
        <v>135317</v>
      </c>
      <c r="O411">
        <v>40</v>
      </c>
      <c r="P411" t="str">
        <f t="shared" si="13"/>
        <v>adult</v>
      </c>
      <c r="Q411" t="s">
        <v>1558</v>
      </c>
      <c r="R411" t="s">
        <v>1562</v>
      </c>
      <c r="S411" t="s">
        <v>1570</v>
      </c>
      <c r="T411">
        <v>1276973</v>
      </c>
      <c r="U411">
        <v>2</v>
      </c>
      <c r="V411" t="s">
        <v>1578</v>
      </c>
      <c r="W411" t="s">
        <v>1591</v>
      </c>
      <c r="X411">
        <v>10.69</v>
      </c>
    </row>
    <row r="412" spans="1:24" x14ac:dyDescent="0.25">
      <c r="A412" t="s">
        <v>432</v>
      </c>
      <c r="B412" s="4">
        <v>45837</v>
      </c>
      <c r="C412" s="4" t="str">
        <f t="shared" si="12"/>
        <v>Jun</v>
      </c>
      <c r="D412" t="s">
        <v>1522</v>
      </c>
      <c r="E412" t="s">
        <v>1525</v>
      </c>
      <c r="F412" t="s">
        <v>1537</v>
      </c>
      <c r="G412" t="s">
        <v>1544</v>
      </c>
      <c r="H412" t="s">
        <v>4</v>
      </c>
      <c r="I412">
        <v>2024</v>
      </c>
      <c r="J412" t="s">
        <v>1554</v>
      </c>
      <c r="K412" t="s">
        <v>1556</v>
      </c>
      <c r="L412">
        <v>1476197</v>
      </c>
      <c r="M412">
        <v>1256575</v>
      </c>
      <c r="N412">
        <v>219622</v>
      </c>
      <c r="O412">
        <v>43</v>
      </c>
      <c r="P412" t="str">
        <f t="shared" si="13"/>
        <v>adult</v>
      </c>
      <c r="Q412" t="s">
        <v>1558</v>
      </c>
      <c r="R412" t="s">
        <v>1561</v>
      </c>
      <c r="S412" t="s">
        <v>1568</v>
      </c>
      <c r="T412">
        <v>2163807</v>
      </c>
      <c r="U412">
        <v>2</v>
      </c>
      <c r="V412" t="s">
        <v>1584</v>
      </c>
      <c r="W412" t="s">
        <v>1592</v>
      </c>
      <c r="X412">
        <v>14.88</v>
      </c>
    </row>
    <row r="413" spans="1:24" x14ac:dyDescent="0.25">
      <c r="A413" t="s">
        <v>433</v>
      </c>
      <c r="B413" s="4">
        <v>45708</v>
      </c>
      <c r="C413" s="4" t="str">
        <f t="shared" si="12"/>
        <v>Feb</v>
      </c>
      <c r="D413" t="s">
        <v>1522</v>
      </c>
      <c r="E413" t="s">
        <v>1524</v>
      </c>
      <c r="F413" t="s">
        <v>1537</v>
      </c>
      <c r="G413" t="s">
        <v>1545</v>
      </c>
      <c r="H413" t="s">
        <v>1550</v>
      </c>
      <c r="I413">
        <v>2022</v>
      </c>
      <c r="J413" t="s">
        <v>1554</v>
      </c>
      <c r="K413" t="s">
        <v>1556</v>
      </c>
      <c r="L413">
        <v>1533166</v>
      </c>
      <c r="M413">
        <v>1342758</v>
      </c>
      <c r="N413">
        <v>190408</v>
      </c>
      <c r="O413">
        <v>35</v>
      </c>
      <c r="P413" t="str">
        <f t="shared" si="13"/>
        <v>adult</v>
      </c>
      <c r="Q413" t="s">
        <v>1558</v>
      </c>
      <c r="R413" t="s">
        <v>1565</v>
      </c>
      <c r="S413" t="s">
        <v>1570</v>
      </c>
      <c r="T413">
        <v>1360402</v>
      </c>
      <c r="U413">
        <v>4</v>
      </c>
      <c r="V413" t="s">
        <v>1578</v>
      </c>
      <c r="W413" t="s">
        <v>1591</v>
      </c>
      <c r="X413">
        <v>12.42</v>
      </c>
    </row>
    <row r="414" spans="1:24" x14ac:dyDescent="0.25">
      <c r="A414" t="s">
        <v>434</v>
      </c>
      <c r="B414" s="4">
        <v>46170</v>
      </c>
      <c r="C414" s="4" t="str">
        <f t="shared" si="12"/>
        <v>May</v>
      </c>
      <c r="D414" t="s">
        <v>1522</v>
      </c>
      <c r="E414" t="s">
        <v>1526</v>
      </c>
      <c r="F414" t="s">
        <v>1528</v>
      </c>
      <c r="G414" t="s">
        <v>1539</v>
      </c>
      <c r="H414" t="s">
        <v>1552</v>
      </c>
      <c r="I414">
        <v>2025</v>
      </c>
      <c r="J414" t="s">
        <v>1555</v>
      </c>
      <c r="K414" t="s">
        <v>1556</v>
      </c>
      <c r="L414">
        <v>1907557</v>
      </c>
      <c r="M414">
        <v>1584536</v>
      </c>
      <c r="N414">
        <v>323021</v>
      </c>
      <c r="O414">
        <v>27</v>
      </c>
      <c r="P414" t="str">
        <f t="shared" si="13"/>
        <v>young</v>
      </c>
      <c r="Q414" t="s">
        <v>1558</v>
      </c>
      <c r="R414" t="s">
        <v>1565</v>
      </c>
      <c r="S414" t="s">
        <v>1569</v>
      </c>
      <c r="T414">
        <v>570117</v>
      </c>
      <c r="U414">
        <v>1</v>
      </c>
      <c r="V414" t="s">
        <v>1590</v>
      </c>
      <c r="W414" t="s">
        <v>1592</v>
      </c>
      <c r="X414">
        <v>16.93</v>
      </c>
    </row>
    <row r="415" spans="1:24" x14ac:dyDescent="0.25">
      <c r="A415" t="s">
        <v>435</v>
      </c>
      <c r="B415" s="4">
        <v>46196</v>
      </c>
      <c r="C415" s="4" t="str">
        <f t="shared" si="12"/>
        <v>Jun</v>
      </c>
      <c r="D415" t="s">
        <v>1522</v>
      </c>
      <c r="E415" t="s">
        <v>1525</v>
      </c>
      <c r="F415" t="s">
        <v>1534</v>
      </c>
      <c r="G415" t="s">
        <v>1540</v>
      </c>
      <c r="H415" t="s">
        <v>1550</v>
      </c>
      <c r="I415">
        <v>2026</v>
      </c>
      <c r="J415" t="s">
        <v>1554</v>
      </c>
      <c r="K415" t="s">
        <v>1556</v>
      </c>
      <c r="L415">
        <v>1206396</v>
      </c>
      <c r="M415">
        <v>1062306</v>
      </c>
      <c r="N415">
        <v>144090</v>
      </c>
      <c r="O415">
        <v>35</v>
      </c>
      <c r="P415" t="str">
        <f t="shared" si="13"/>
        <v>adult</v>
      </c>
      <c r="Q415" t="s">
        <v>1559</v>
      </c>
      <c r="R415" t="s">
        <v>1566</v>
      </c>
      <c r="S415" t="s">
        <v>1568</v>
      </c>
      <c r="T415">
        <v>400509</v>
      </c>
      <c r="U415">
        <v>3</v>
      </c>
      <c r="V415" t="s">
        <v>1582</v>
      </c>
      <c r="W415" t="s">
        <v>1592</v>
      </c>
      <c r="X415">
        <v>11.94</v>
      </c>
    </row>
    <row r="416" spans="1:24" x14ac:dyDescent="0.25">
      <c r="A416" t="s">
        <v>436</v>
      </c>
      <c r="B416" s="4">
        <v>46134</v>
      </c>
      <c r="C416" s="4" t="str">
        <f t="shared" si="12"/>
        <v>Apr</v>
      </c>
      <c r="D416" t="s">
        <v>1522</v>
      </c>
      <c r="E416" t="s">
        <v>1527</v>
      </c>
      <c r="F416" t="s">
        <v>1535</v>
      </c>
      <c r="G416" t="s">
        <v>1548</v>
      </c>
      <c r="H416" t="s">
        <v>1551</v>
      </c>
      <c r="I416">
        <v>2023</v>
      </c>
      <c r="J416" t="s">
        <v>1554</v>
      </c>
      <c r="K416" t="s">
        <v>1556</v>
      </c>
      <c r="L416">
        <v>1061996</v>
      </c>
      <c r="M416">
        <v>905650</v>
      </c>
      <c r="N416">
        <v>156346</v>
      </c>
      <c r="O416">
        <v>21</v>
      </c>
      <c r="P416" t="str">
        <f t="shared" si="13"/>
        <v>young</v>
      </c>
      <c r="Q416" t="s">
        <v>1559</v>
      </c>
      <c r="R416" t="s">
        <v>1561</v>
      </c>
      <c r="S416" t="s">
        <v>1567</v>
      </c>
      <c r="T416">
        <v>659742</v>
      </c>
      <c r="U416">
        <v>3</v>
      </c>
      <c r="V416" t="s">
        <v>1580</v>
      </c>
      <c r="W416" t="s">
        <v>1592</v>
      </c>
      <c r="X416">
        <v>14.72</v>
      </c>
    </row>
    <row r="417" spans="1:24" x14ac:dyDescent="0.25">
      <c r="A417" t="s">
        <v>437</v>
      </c>
      <c r="B417" s="4">
        <v>45983</v>
      </c>
      <c r="C417" s="4" t="str">
        <f t="shared" si="12"/>
        <v>Nov</v>
      </c>
      <c r="D417" t="s">
        <v>1522</v>
      </c>
      <c r="E417" t="s">
        <v>1523</v>
      </c>
      <c r="F417" t="s">
        <v>1536</v>
      </c>
      <c r="G417" t="s">
        <v>1538</v>
      </c>
      <c r="H417" t="s">
        <v>4</v>
      </c>
      <c r="I417">
        <v>2026</v>
      </c>
      <c r="J417" t="s">
        <v>1554</v>
      </c>
      <c r="K417" t="s">
        <v>1556</v>
      </c>
      <c r="L417">
        <v>1702826</v>
      </c>
      <c r="M417">
        <v>1413912</v>
      </c>
      <c r="N417">
        <v>288914</v>
      </c>
      <c r="O417">
        <v>23</v>
      </c>
      <c r="P417" t="str">
        <f t="shared" si="13"/>
        <v>young</v>
      </c>
      <c r="Q417" t="s">
        <v>1558</v>
      </c>
      <c r="R417" t="s">
        <v>1562</v>
      </c>
      <c r="S417" t="s">
        <v>1570</v>
      </c>
      <c r="T417">
        <v>245978</v>
      </c>
      <c r="U417">
        <v>2</v>
      </c>
      <c r="V417" t="s">
        <v>1583</v>
      </c>
      <c r="W417" t="s">
        <v>1593</v>
      </c>
      <c r="X417">
        <v>16.97</v>
      </c>
    </row>
    <row r="418" spans="1:24" x14ac:dyDescent="0.25">
      <c r="A418" t="s">
        <v>438</v>
      </c>
      <c r="B418" s="4">
        <v>46150</v>
      </c>
      <c r="C418" s="4" t="str">
        <f t="shared" si="12"/>
        <v>May</v>
      </c>
      <c r="D418" t="s">
        <v>1522</v>
      </c>
      <c r="E418" t="s">
        <v>1523</v>
      </c>
      <c r="F418" t="s">
        <v>1529</v>
      </c>
      <c r="G418" t="s">
        <v>1544</v>
      </c>
      <c r="H418" t="s">
        <v>1550</v>
      </c>
      <c r="I418">
        <v>2024</v>
      </c>
      <c r="J418" t="s">
        <v>1554</v>
      </c>
      <c r="K418" t="s">
        <v>1557</v>
      </c>
      <c r="L418">
        <v>1265129</v>
      </c>
      <c r="M418">
        <v>1183145</v>
      </c>
      <c r="N418">
        <v>81984</v>
      </c>
      <c r="O418">
        <v>36</v>
      </c>
      <c r="P418" t="str">
        <f t="shared" si="13"/>
        <v>adult</v>
      </c>
      <c r="Q418" t="s">
        <v>1558</v>
      </c>
      <c r="R418" t="s">
        <v>1566</v>
      </c>
      <c r="S418" t="s">
        <v>1570</v>
      </c>
      <c r="T418">
        <v>2054962</v>
      </c>
      <c r="U418">
        <v>2</v>
      </c>
      <c r="V418" t="s">
        <v>1590</v>
      </c>
      <c r="W418" t="s">
        <v>1592</v>
      </c>
      <c r="X418">
        <v>6.48</v>
      </c>
    </row>
    <row r="419" spans="1:24" x14ac:dyDescent="0.25">
      <c r="A419" t="s">
        <v>439</v>
      </c>
      <c r="B419" s="4">
        <v>46110</v>
      </c>
      <c r="C419" s="4" t="str">
        <f t="shared" si="12"/>
        <v>Mar</v>
      </c>
      <c r="D419" t="s">
        <v>1522</v>
      </c>
      <c r="E419" t="s">
        <v>1523</v>
      </c>
      <c r="F419" t="s">
        <v>1531</v>
      </c>
      <c r="G419" t="s">
        <v>1549</v>
      </c>
      <c r="H419" t="s">
        <v>1551</v>
      </c>
      <c r="I419">
        <v>2022</v>
      </c>
      <c r="J419" t="s">
        <v>1553</v>
      </c>
      <c r="K419" t="s">
        <v>1556</v>
      </c>
      <c r="L419">
        <v>960069</v>
      </c>
      <c r="M419">
        <v>837997</v>
      </c>
      <c r="N419">
        <v>122072</v>
      </c>
      <c r="O419">
        <v>31</v>
      </c>
      <c r="P419" t="str">
        <f t="shared" si="13"/>
        <v>adult</v>
      </c>
      <c r="Q419" t="s">
        <v>1558</v>
      </c>
      <c r="R419" t="s">
        <v>1562</v>
      </c>
      <c r="S419" t="s">
        <v>1570</v>
      </c>
      <c r="T419">
        <v>1376758</v>
      </c>
      <c r="U419">
        <v>2</v>
      </c>
      <c r="V419" t="s">
        <v>1586</v>
      </c>
      <c r="W419" t="s">
        <v>1591</v>
      </c>
      <c r="X419">
        <v>12.71</v>
      </c>
    </row>
    <row r="420" spans="1:24" x14ac:dyDescent="0.25">
      <c r="A420" t="s">
        <v>440</v>
      </c>
      <c r="B420" s="4">
        <v>46197</v>
      </c>
      <c r="C420" s="4" t="str">
        <f t="shared" si="12"/>
        <v>Jun</v>
      </c>
      <c r="D420" t="s">
        <v>1522</v>
      </c>
      <c r="E420" t="s">
        <v>1523</v>
      </c>
      <c r="F420" t="s">
        <v>1531</v>
      </c>
      <c r="G420" t="s">
        <v>1542</v>
      </c>
      <c r="H420" t="s">
        <v>4</v>
      </c>
      <c r="I420">
        <v>2024</v>
      </c>
      <c r="J420" t="s">
        <v>1554</v>
      </c>
      <c r="K420" t="s">
        <v>1557</v>
      </c>
      <c r="L420">
        <v>1418555</v>
      </c>
      <c r="M420">
        <v>1261387</v>
      </c>
      <c r="N420">
        <v>157168</v>
      </c>
      <c r="O420">
        <v>54</v>
      </c>
      <c r="P420" t="str">
        <f t="shared" si="13"/>
        <v>senior</v>
      </c>
      <c r="Q420" t="s">
        <v>1558</v>
      </c>
      <c r="R420" t="s">
        <v>1564</v>
      </c>
      <c r="S420" t="s">
        <v>1568</v>
      </c>
      <c r="T420">
        <v>1858966</v>
      </c>
      <c r="U420">
        <v>5</v>
      </c>
      <c r="V420" t="s">
        <v>1582</v>
      </c>
      <c r="W420" t="s">
        <v>1592</v>
      </c>
      <c r="X420">
        <v>11.08</v>
      </c>
    </row>
    <row r="421" spans="1:24" x14ac:dyDescent="0.25">
      <c r="A421" t="s">
        <v>441</v>
      </c>
      <c r="B421" s="4">
        <v>45952</v>
      </c>
      <c r="C421" s="4" t="str">
        <f t="shared" si="12"/>
        <v>Oct</v>
      </c>
      <c r="D421" t="s">
        <v>1522</v>
      </c>
      <c r="E421" t="s">
        <v>1527</v>
      </c>
      <c r="F421" t="s">
        <v>1529</v>
      </c>
      <c r="G421" t="s">
        <v>1544</v>
      </c>
      <c r="H421" t="s">
        <v>1551</v>
      </c>
      <c r="I421">
        <v>2024</v>
      </c>
      <c r="J421" t="s">
        <v>1554</v>
      </c>
      <c r="K421" t="s">
        <v>1556</v>
      </c>
      <c r="L421">
        <v>849103</v>
      </c>
      <c r="M421">
        <v>734326</v>
      </c>
      <c r="N421">
        <v>114777</v>
      </c>
      <c r="O421">
        <v>34</v>
      </c>
      <c r="P421" t="str">
        <f t="shared" si="13"/>
        <v>adult</v>
      </c>
      <c r="Q421" t="s">
        <v>1559</v>
      </c>
      <c r="R421" t="s">
        <v>1564</v>
      </c>
      <c r="S421" t="s">
        <v>1567</v>
      </c>
      <c r="T421">
        <v>684581</v>
      </c>
      <c r="U421">
        <v>2</v>
      </c>
      <c r="V421" t="s">
        <v>1574</v>
      </c>
      <c r="W421" t="s">
        <v>1593</v>
      </c>
      <c r="X421">
        <v>13.52</v>
      </c>
    </row>
    <row r="422" spans="1:24" x14ac:dyDescent="0.25">
      <c r="A422" t="s">
        <v>442</v>
      </c>
      <c r="B422" s="4">
        <v>46197</v>
      </c>
      <c r="C422" s="4" t="str">
        <f t="shared" si="12"/>
        <v>Jun</v>
      </c>
      <c r="D422" t="s">
        <v>1522</v>
      </c>
      <c r="E422" t="s">
        <v>1526</v>
      </c>
      <c r="F422" t="s">
        <v>1534</v>
      </c>
      <c r="G422" t="s">
        <v>1548</v>
      </c>
      <c r="H422" t="s">
        <v>4</v>
      </c>
      <c r="I422">
        <v>2026</v>
      </c>
      <c r="J422" t="s">
        <v>1554</v>
      </c>
      <c r="K422" t="s">
        <v>1557</v>
      </c>
      <c r="L422">
        <v>1691559</v>
      </c>
      <c r="M422">
        <v>1500894</v>
      </c>
      <c r="N422">
        <v>190665</v>
      </c>
      <c r="O422">
        <v>22</v>
      </c>
      <c r="P422" t="str">
        <f t="shared" si="13"/>
        <v>young</v>
      </c>
      <c r="Q422" t="s">
        <v>1558</v>
      </c>
      <c r="R422" t="s">
        <v>1563</v>
      </c>
      <c r="S422" t="s">
        <v>1569</v>
      </c>
      <c r="T422">
        <v>1829086</v>
      </c>
      <c r="U422">
        <v>3</v>
      </c>
      <c r="V422" t="s">
        <v>1582</v>
      </c>
      <c r="W422" t="s">
        <v>1592</v>
      </c>
      <c r="X422">
        <v>11.27</v>
      </c>
    </row>
    <row r="423" spans="1:24" x14ac:dyDescent="0.25">
      <c r="A423" t="s">
        <v>443</v>
      </c>
      <c r="B423" s="4">
        <v>45818</v>
      </c>
      <c r="C423" s="4" t="str">
        <f t="shared" si="12"/>
        <v>Jun</v>
      </c>
      <c r="D423" t="s">
        <v>1522</v>
      </c>
      <c r="E423" t="s">
        <v>1523</v>
      </c>
      <c r="F423" t="s">
        <v>1530</v>
      </c>
      <c r="G423" t="s">
        <v>1541</v>
      </c>
      <c r="H423" t="s">
        <v>1551</v>
      </c>
      <c r="I423">
        <v>2025</v>
      </c>
      <c r="J423" t="s">
        <v>1554</v>
      </c>
      <c r="K423" t="s">
        <v>1556</v>
      </c>
      <c r="L423">
        <v>1060578</v>
      </c>
      <c r="M423">
        <v>950924</v>
      </c>
      <c r="N423">
        <v>109654</v>
      </c>
      <c r="O423">
        <v>24</v>
      </c>
      <c r="P423" t="str">
        <f t="shared" si="13"/>
        <v>young</v>
      </c>
      <c r="Q423" t="s">
        <v>1559</v>
      </c>
      <c r="R423" t="s">
        <v>1563</v>
      </c>
      <c r="S423" t="s">
        <v>1567</v>
      </c>
      <c r="T423">
        <v>1331224</v>
      </c>
      <c r="U423">
        <v>3</v>
      </c>
      <c r="V423" t="s">
        <v>1584</v>
      </c>
      <c r="W423" t="s">
        <v>1592</v>
      </c>
      <c r="X423">
        <v>10.34</v>
      </c>
    </row>
    <row r="424" spans="1:24" x14ac:dyDescent="0.25">
      <c r="A424" t="s">
        <v>444</v>
      </c>
      <c r="B424" s="4">
        <v>45800</v>
      </c>
      <c r="C424" s="4" t="str">
        <f t="shared" si="12"/>
        <v>May</v>
      </c>
      <c r="D424" t="s">
        <v>1522</v>
      </c>
      <c r="E424" t="s">
        <v>1523</v>
      </c>
      <c r="F424" t="s">
        <v>1531</v>
      </c>
      <c r="G424" t="s">
        <v>1544</v>
      </c>
      <c r="H424" t="s">
        <v>1551</v>
      </c>
      <c r="I424">
        <v>2023</v>
      </c>
      <c r="J424" t="s">
        <v>1554</v>
      </c>
      <c r="K424" t="s">
        <v>1557</v>
      </c>
      <c r="L424">
        <v>885245</v>
      </c>
      <c r="M424">
        <v>760255</v>
      </c>
      <c r="N424">
        <v>124990</v>
      </c>
      <c r="O424">
        <v>64</v>
      </c>
      <c r="P424" t="str">
        <f t="shared" si="13"/>
        <v>senior</v>
      </c>
      <c r="Q424" t="s">
        <v>1558</v>
      </c>
      <c r="R424" t="s">
        <v>1564</v>
      </c>
      <c r="S424" t="s">
        <v>1570</v>
      </c>
      <c r="T424">
        <v>1572693</v>
      </c>
      <c r="U424">
        <v>3</v>
      </c>
      <c r="V424" t="s">
        <v>1572</v>
      </c>
      <c r="W424" t="s">
        <v>1592</v>
      </c>
      <c r="X424">
        <v>14.12</v>
      </c>
    </row>
    <row r="425" spans="1:24" x14ac:dyDescent="0.25">
      <c r="A425" t="s">
        <v>445</v>
      </c>
      <c r="B425" s="4">
        <v>45743</v>
      </c>
      <c r="C425" s="4" t="str">
        <f t="shared" si="12"/>
        <v>Mar</v>
      </c>
      <c r="D425" t="s">
        <v>1522</v>
      </c>
      <c r="E425" t="s">
        <v>1523</v>
      </c>
      <c r="F425" t="s">
        <v>1531</v>
      </c>
      <c r="G425" t="s">
        <v>1548</v>
      </c>
      <c r="H425" t="s">
        <v>1550</v>
      </c>
      <c r="I425">
        <v>2023</v>
      </c>
      <c r="J425" t="s">
        <v>1554</v>
      </c>
      <c r="K425" t="s">
        <v>1557</v>
      </c>
      <c r="L425">
        <v>1553946</v>
      </c>
      <c r="M425">
        <v>1351591</v>
      </c>
      <c r="N425">
        <v>202355</v>
      </c>
      <c r="O425">
        <v>22</v>
      </c>
      <c r="P425" t="str">
        <f t="shared" si="13"/>
        <v>young</v>
      </c>
      <c r="Q425" t="s">
        <v>1559</v>
      </c>
      <c r="R425" t="s">
        <v>1563</v>
      </c>
      <c r="S425" t="s">
        <v>1567</v>
      </c>
      <c r="T425">
        <v>1184194</v>
      </c>
      <c r="U425">
        <v>4</v>
      </c>
      <c r="V425" t="s">
        <v>1588</v>
      </c>
      <c r="W425" t="s">
        <v>1591</v>
      </c>
      <c r="X425">
        <v>13.02</v>
      </c>
    </row>
    <row r="426" spans="1:24" x14ac:dyDescent="0.25">
      <c r="A426" t="s">
        <v>446</v>
      </c>
      <c r="B426" s="4">
        <v>46224</v>
      </c>
      <c r="C426" s="4" t="str">
        <f t="shared" si="12"/>
        <v>Jul</v>
      </c>
      <c r="D426" t="s">
        <v>1522</v>
      </c>
      <c r="E426" t="s">
        <v>1525</v>
      </c>
      <c r="F426" t="s">
        <v>1535</v>
      </c>
      <c r="G426" t="s">
        <v>1540</v>
      </c>
      <c r="H426" t="s">
        <v>4</v>
      </c>
      <c r="I426">
        <v>2025</v>
      </c>
      <c r="J426" t="s">
        <v>1554</v>
      </c>
      <c r="K426" t="s">
        <v>1557</v>
      </c>
      <c r="L426">
        <v>1574208</v>
      </c>
      <c r="M426">
        <v>1363017</v>
      </c>
      <c r="N426">
        <v>211191</v>
      </c>
      <c r="O426">
        <v>57</v>
      </c>
      <c r="P426" t="str">
        <f t="shared" si="13"/>
        <v>senior</v>
      </c>
      <c r="Q426" t="s">
        <v>1558</v>
      </c>
      <c r="R426" t="s">
        <v>1563</v>
      </c>
      <c r="S426" t="s">
        <v>1568</v>
      </c>
      <c r="T426">
        <v>1725918</v>
      </c>
      <c r="U426">
        <v>2</v>
      </c>
      <c r="V426" t="s">
        <v>1587</v>
      </c>
      <c r="W426" t="s">
        <v>1594</v>
      </c>
      <c r="X426">
        <v>13.42</v>
      </c>
    </row>
    <row r="427" spans="1:24" x14ac:dyDescent="0.25">
      <c r="A427" t="s">
        <v>447</v>
      </c>
      <c r="B427" s="4">
        <v>45718</v>
      </c>
      <c r="C427" s="4" t="str">
        <f t="shared" si="12"/>
        <v>Mar</v>
      </c>
      <c r="D427" t="s">
        <v>1522</v>
      </c>
      <c r="E427" t="s">
        <v>1523</v>
      </c>
      <c r="F427" t="s">
        <v>1536</v>
      </c>
      <c r="G427" t="s">
        <v>1549</v>
      </c>
      <c r="H427" t="s">
        <v>4</v>
      </c>
      <c r="I427">
        <v>2025</v>
      </c>
      <c r="J427" t="s">
        <v>1554</v>
      </c>
      <c r="K427" t="s">
        <v>1557</v>
      </c>
      <c r="L427">
        <v>1487359</v>
      </c>
      <c r="M427">
        <v>1289897</v>
      </c>
      <c r="N427">
        <v>197462</v>
      </c>
      <c r="O427">
        <v>60</v>
      </c>
      <c r="P427" t="str">
        <f t="shared" si="13"/>
        <v>senior</v>
      </c>
      <c r="Q427" t="s">
        <v>1558</v>
      </c>
      <c r="R427" t="s">
        <v>1563</v>
      </c>
      <c r="S427" t="s">
        <v>1568</v>
      </c>
      <c r="T427">
        <v>387934</v>
      </c>
      <c r="U427">
        <v>3</v>
      </c>
      <c r="V427" t="s">
        <v>1588</v>
      </c>
      <c r="W427" t="s">
        <v>1591</v>
      </c>
      <c r="X427">
        <v>13.28</v>
      </c>
    </row>
    <row r="428" spans="1:24" x14ac:dyDescent="0.25">
      <c r="A428" t="s">
        <v>448</v>
      </c>
      <c r="B428" s="4">
        <v>45888</v>
      </c>
      <c r="C428" s="4" t="str">
        <f t="shared" si="12"/>
        <v>Aug</v>
      </c>
      <c r="D428" t="s">
        <v>1522</v>
      </c>
      <c r="E428" t="s">
        <v>1523</v>
      </c>
      <c r="F428" t="s">
        <v>1529</v>
      </c>
      <c r="G428" t="s">
        <v>1542</v>
      </c>
      <c r="H428" t="s">
        <v>4</v>
      </c>
      <c r="I428">
        <v>2025</v>
      </c>
      <c r="J428" t="s">
        <v>1554</v>
      </c>
      <c r="K428" t="s">
        <v>1556</v>
      </c>
      <c r="L428">
        <v>1801598</v>
      </c>
      <c r="M428">
        <v>1534973</v>
      </c>
      <c r="N428">
        <v>266625</v>
      </c>
      <c r="O428">
        <v>60</v>
      </c>
      <c r="P428" t="str">
        <f t="shared" si="13"/>
        <v>senior</v>
      </c>
      <c r="Q428" t="s">
        <v>1558</v>
      </c>
      <c r="R428" t="s">
        <v>1566</v>
      </c>
      <c r="S428" t="s">
        <v>1570</v>
      </c>
      <c r="T428">
        <v>1200655</v>
      </c>
      <c r="U428">
        <v>1</v>
      </c>
      <c r="V428" t="s">
        <v>1585</v>
      </c>
      <c r="W428" t="s">
        <v>1594</v>
      </c>
      <c r="X428">
        <v>14.8</v>
      </c>
    </row>
    <row r="429" spans="1:24" x14ac:dyDescent="0.25">
      <c r="A429" t="s">
        <v>449</v>
      </c>
      <c r="B429" s="4">
        <v>45780</v>
      </c>
      <c r="C429" s="4" t="str">
        <f t="shared" si="12"/>
        <v>May</v>
      </c>
      <c r="D429" t="s">
        <v>1522</v>
      </c>
      <c r="E429" t="s">
        <v>1525</v>
      </c>
      <c r="F429" t="s">
        <v>1537</v>
      </c>
      <c r="G429" t="s">
        <v>1544</v>
      </c>
      <c r="H429" t="s">
        <v>4</v>
      </c>
      <c r="I429">
        <v>2023</v>
      </c>
      <c r="J429" t="s">
        <v>1554</v>
      </c>
      <c r="K429" t="s">
        <v>1556</v>
      </c>
      <c r="L429">
        <v>1379229</v>
      </c>
      <c r="M429">
        <v>1180141</v>
      </c>
      <c r="N429">
        <v>199088</v>
      </c>
      <c r="O429">
        <v>65</v>
      </c>
      <c r="P429" t="str">
        <f t="shared" si="13"/>
        <v>senior</v>
      </c>
      <c r="Q429" t="s">
        <v>1558</v>
      </c>
      <c r="R429" t="s">
        <v>1566</v>
      </c>
      <c r="S429" t="s">
        <v>1570</v>
      </c>
      <c r="T429">
        <v>1035161</v>
      </c>
      <c r="U429">
        <v>4</v>
      </c>
      <c r="V429" t="s">
        <v>1572</v>
      </c>
      <c r="W429" t="s">
        <v>1592</v>
      </c>
      <c r="X429">
        <v>14.43</v>
      </c>
    </row>
    <row r="430" spans="1:24" x14ac:dyDescent="0.25">
      <c r="A430" t="s">
        <v>450</v>
      </c>
      <c r="B430" s="4">
        <v>45929</v>
      </c>
      <c r="C430" s="4" t="str">
        <f t="shared" si="12"/>
        <v>Sep</v>
      </c>
      <c r="D430" t="s">
        <v>1522</v>
      </c>
      <c r="E430" t="s">
        <v>1526</v>
      </c>
      <c r="F430" t="s">
        <v>1528</v>
      </c>
      <c r="G430" t="s">
        <v>1544</v>
      </c>
      <c r="H430" t="s">
        <v>1552</v>
      </c>
      <c r="I430">
        <v>2025</v>
      </c>
      <c r="J430" t="s">
        <v>1555</v>
      </c>
      <c r="K430" t="s">
        <v>1556</v>
      </c>
      <c r="L430">
        <v>2048737</v>
      </c>
      <c r="M430">
        <v>1689976</v>
      </c>
      <c r="N430">
        <v>358761</v>
      </c>
      <c r="O430">
        <v>40</v>
      </c>
      <c r="P430" t="str">
        <f t="shared" si="13"/>
        <v>adult</v>
      </c>
      <c r="Q430" t="s">
        <v>1558</v>
      </c>
      <c r="R430" t="s">
        <v>1562</v>
      </c>
      <c r="S430" t="s">
        <v>1570</v>
      </c>
      <c r="T430">
        <v>240892</v>
      </c>
      <c r="U430">
        <v>5</v>
      </c>
      <c r="V430" t="s">
        <v>1577</v>
      </c>
      <c r="W430" t="s">
        <v>1594</v>
      </c>
      <c r="X430">
        <v>17.510000000000002</v>
      </c>
    </row>
    <row r="431" spans="1:24" x14ac:dyDescent="0.25">
      <c r="A431" t="s">
        <v>451</v>
      </c>
      <c r="B431" s="4">
        <v>45922</v>
      </c>
      <c r="C431" s="4" t="str">
        <f t="shared" si="12"/>
        <v>Sep</v>
      </c>
      <c r="D431" t="s">
        <v>1522</v>
      </c>
      <c r="E431" t="s">
        <v>1525</v>
      </c>
      <c r="F431" t="s">
        <v>1534</v>
      </c>
      <c r="G431" t="s">
        <v>1539</v>
      </c>
      <c r="H431" t="s">
        <v>1550</v>
      </c>
      <c r="I431">
        <v>2024</v>
      </c>
      <c r="J431" t="s">
        <v>1554</v>
      </c>
      <c r="K431" t="s">
        <v>1556</v>
      </c>
      <c r="L431">
        <v>1432721</v>
      </c>
      <c r="M431">
        <v>1225619</v>
      </c>
      <c r="N431">
        <v>207102</v>
      </c>
      <c r="O431">
        <v>65</v>
      </c>
      <c r="P431" t="str">
        <f t="shared" si="13"/>
        <v>senior</v>
      </c>
      <c r="Q431" t="s">
        <v>1559</v>
      </c>
      <c r="R431" t="s">
        <v>1564</v>
      </c>
      <c r="S431" t="s">
        <v>1570</v>
      </c>
      <c r="T431">
        <v>1915779</v>
      </c>
      <c r="U431">
        <v>4</v>
      </c>
      <c r="V431" t="s">
        <v>1577</v>
      </c>
      <c r="W431" t="s">
        <v>1594</v>
      </c>
      <c r="X431">
        <v>14.46</v>
      </c>
    </row>
    <row r="432" spans="1:24" x14ac:dyDescent="0.25">
      <c r="A432" t="s">
        <v>452</v>
      </c>
      <c r="B432" s="4">
        <v>45743</v>
      </c>
      <c r="C432" s="4" t="str">
        <f t="shared" si="12"/>
        <v>Mar</v>
      </c>
      <c r="D432" t="s">
        <v>1522</v>
      </c>
      <c r="E432" t="s">
        <v>1524</v>
      </c>
      <c r="F432" t="s">
        <v>1529</v>
      </c>
      <c r="G432" t="s">
        <v>1549</v>
      </c>
      <c r="H432" t="s">
        <v>1551</v>
      </c>
      <c r="I432">
        <v>2022</v>
      </c>
      <c r="J432" t="s">
        <v>1554</v>
      </c>
      <c r="K432" t="s">
        <v>1557</v>
      </c>
      <c r="L432">
        <v>1024459</v>
      </c>
      <c r="M432">
        <v>932297</v>
      </c>
      <c r="N432">
        <v>92162</v>
      </c>
      <c r="O432">
        <v>62</v>
      </c>
      <c r="P432" t="str">
        <f t="shared" si="13"/>
        <v>senior</v>
      </c>
      <c r="Q432" t="s">
        <v>1558</v>
      </c>
      <c r="R432" t="s">
        <v>1566</v>
      </c>
      <c r="S432" t="s">
        <v>1567</v>
      </c>
      <c r="T432">
        <v>2113478</v>
      </c>
      <c r="U432">
        <v>5</v>
      </c>
      <c r="V432" t="s">
        <v>1588</v>
      </c>
      <c r="W432" t="s">
        <v>1591</v>
      </c>
      <c r="X432">
        <v>9</v>
      </c>
    </row>
    <row r="433" spans="1:24" x14ac:dyDescent="0.25">
      <c r="A433" t="s">
        <v>453</v>
      </c>
      <c r="B433" s="4">
        <v>45906</v>
      </c>
      <c r="C433" s="4" t="str">
        <f t="shared" si="12"/>
        <v>Sep</v>
      </c>
      <c r="D433" t="s">
        <v>1522</v>
      </c>
      <c r="E433" t="s">
        <v>1524</v>
      </c>
      <c r="F433" t="s">
        <v>1529</v>
      </c>
      <c r="G433" t="s">
        <v>1547</v>
      </c>
      <c r="H433" t="s">
        <v>4</v>
      </c>
      <c r="I433">
        <v>2024</v>
      </c>
      <c r="J433" t="s">
        <v>1554</v>
      </c>
      <c r="K433" t="s">
        <v>1557</v>
      </c>
      <c r="L433">
        <v>1826124</v>
      </c>
      <c r="M433">
        <v>1593011</v>
      </c>
      <c r="N433">
        <v>233113</v>
      </c>
      <c r="O433">
        <v>49</v>
      </c>
      <c r="P433" t="str">
        <f t="shared" si="13"/>
        <v>adult</v>
      </c>
      <c r="Q433" t="s">
        <v>1558</v>
      </c>
      <c r="R433" t="s">
        <v>1561</v>
      </c>
      <c r="S433" t="s">
        <v>1567</v>
      </c>
      <c r="T433">
        <v>107697</v>
      </c>
      <c r="U433">
        <v>1</v>
      </c>
      <c r="V433" t="s">
        <v>1577</v>
      </c>
      <c r="W433" t="s">
        <v>1594</v>
      </c>
      <c r="X433">
        <v>12.77</v>
      </c>
    </row>
    <row r="434" spans="1:24" x14ac:dyDescent="0.25">
      <c r="A434" t="s">
        <v>454</v>
      </c>
      <c r="B434" s="4">
        <v>46221</v>
      </c>
      <c r="C434" s="4" t="str">
        <f t="shared" si="12"/>
        <v>Jul</v>
      </c>
      <c r="D434" t="s">
        <v>1522</v>
      </c>
      <c r="E434" t="s">
        <v>1524</v>
      </c>
      <c r="F434" t="s">
        <v>1529</v>
      </c>
      <c r="G434" t="s">
        <v>1549</v>
      </c>
      <c r="H434" t="s">
        <v>4</v>
      </c>
      <c r="I434">
        <v>2025</v>
      </c>
      <c r="J434" t="s">
        <v>1554</v>
      </c>
      <c r="K434" t="s">
        <v>1557</v>
      </c>
      <c r="L434">
        <v>1543589</v>
      </c>
      <c r="M434">
        <v>1278013</v>
      </c>
      <c r="N434">
        <v>265576</v>
      </c>
      <c r="O434">
        <v>41</v>
      </c>
      <c r="P434" t="str">
        <f t="shared" si="13"/>
        <v>adult</v>
      </c>
      <c r="Q434" t="s">
        <v>1559</v>
      </c>
      <c r="R434" t="s">
        <v>1566</v>
      </c>
      <c r="S434" t="s">
        <v>1570</v>
      </c>
      <c r="T434">
        <v>1125852</v>
      </c>
      <c r="U434">
        <v>1</v>
      </c>
      <c r="V434" t="s">
        <v>1587</v>
      </c>
      <c r="W434" t="s">
        <v>1594</v>
      </c>
      <c r="X434">
        <v>17.21</v>
      </c>
    </row>
    <row r="435" spans="1:24" x14ac:dyDescent="0.25">
      <c r="A435" t="s">
        <v>455</v>
      </c>
      <c r="B435" s="4">
        <v>45819</v>
      </c>
      <c r="C435" s="4" t="str">
        <f t="shared" si="12"/>
        <v>Jun</v>
      </c>
      <c r="D435" t="s">
        <v>1522</v>
      </c>
      <c r="E435" t="s">
        <v>1525</v>
      </c>
      <c r="F435" t="s">
        <v>1533</v>
      </c>
      <c r="G435" t="s">
        <v>1545</v>
      </c>
      <c r="H435" t="s">
        <v>1552</v>
      </c>
      <c r="I435">
        <v>2025</v>
      </c>
      <c r="J435" t="s">
        <v>1555</v>
      </c>
      <c r="K435" t="s">
        <v>1556</v>
      </c>
      <c r="L435">
        <v>1838146</v>
      </c>
      <c r="M435">
        <v>1596923</v>
      </c>
      <c r="N435">
        <v>241223</v>
      </c>
      <c r="O435">
        <v>29</v>
      </c>
      <c r="P435" t="str">
        <f t="shared" si="13"/>
        <v>young</v>
      </c>
      <c r="Q435" t="s">
        <v>1558</v>
      </c>
      <c r="R435" t="s">
        <v>1562</v>
      </c>
      <c r="S435" t="s">
        <v>1567</v>
      </c>
      <c r="T435">
        <v>1705012</v>
      </c>
      <c r="U435">
        <v>1</v>
      </c>
      <c r="V435" t="s">
        <v>1584</v>
      </c>
      <c r="W435" t="s">
        <v>1592</v>
      </c>
      <c r="X435">
        <v>13.12</v>
      </c>
    </row>
    <row r="436" spans="1:24" x14ac:dyDescent="0.25">
      <c r="A436" t="s">
        <v>456</v>
      </c>
      <c r="B436" s="4">
        <v>46060</v>
      </c>
      <c r="C436" s="4" t="str">
        <f t="shared" si="12"/>
        <v>Feb</v>
      </c>
      <c r="D436" t="s">
        <v>1522</v>
      </c>
      <c r="E436" t="s">
        <v>1527</v>
      </c>
      <c r="F436" t="s">
        <v>1531</v>
      </c>
      <c r="G436" t="s">
        <v>1547</v>
      </c>
      <c r="H436" t="s">
        <v>4</v>
      </c>
      <c r="I436">
        <v>2024</v>
      </c>
      <c r="J436" t="s">
        <v>1554</v>
      </c>
      <c r="K436" t="s">
        <v>1557</v>
      </c>
      <c r="L436">
        <v>1771200</v>
      </c>
      <c r="M436">
        <v>1631302</v>
      </c>
      <c r="N436">
        <v>139898</v>
      </c>
      <c r="O436">
        <v>53</v>
      </c>
      <c r="P436" t="str">
        <f t="shared" si="13"/>
        <v>senior</v>
      </c>
      <c r="Q436" t="s">
        <v>1559</v>
      </c>
      <c r="R436" t="s">
        <v>1562</v>
      </c>
      <c r="S436" t="s">
        <v>1569</v>
      </c>
      <c r="T436">
        <v>486362</v>
      </c>
      <c r="U436">
        <v>1</v>
      </c>
      <c r="V436" t="s">
        <v>1589</v>
      </c>
      <c r="W436" t="s">
        <v>1591</v>
      </c>
      <c r="X436">
        <v>7.9</v>
      </c>
    </row>
    <row r="437" spans="1:24" x14ac:dyDescent="0.25">
      <c r="A437" t="s">
        <v>457</v>
      </c>
      <c r="B437" s="4">
        <v>46253</v>
      </c>
      <c r="C437" s="4" t="str">
        <f t="shared" si="12"/>
        <v>Aug</v>
      </c>
      <c r="D437" t="s">
        <v>1522</v>
      </c>
      <c r="E437" t="s">
        <v>1524</v>
      </c>
      <c r="F437" t="s">
        <v>1529</v>
      </c>
      <c r="G437" t="s">
        <v>1543</v>
      </c>
      <c r="H437" t="s">
        <v>4</v>
      </c>
      <c r="I437">
        <v>2024</v>
      </c>
      <c r="J437" t="s">
        <v>1554</v>
      </c>
      <c r="K437" t="s">
        <v>1557</v>
      </c>
      <c r="L437">
        <v>1550967</v>
      </c>
      <c r="M437">
        <v>1370685</v>
      </c>
      <c r="N437">
        <v>180282</v>
      </c>
      <c r="O437">
        <v>52</v>
      </c>
      <c r="P437" t="str">
        <f t="shared" si="13"/>
        <v>senior</v>
      </c>
      <c r="Q437" t="s">
        <v>1558</v>
      </c>
      <c r="R437" t="s">
        <v>1564</v>
      </c>
      <c r="S437" t="s">
        <v>1570</v>
      </c>
      <c r="T437">
        <v>648179</v>
      </c>
      <c r="U437">
        <v>5</v>
      </c>
      <c r="V437" t="s">
        <v>1576</v>
      </c>
      <c r="W437" t="s">
        <v>1594</v>
      </c>
      <c r="X437">
        <v>11.62</v>
      </c>
    </row>
    <row r="438" spans="1:24" x14ac:dyDescent="0.25">
      <c r="A438" t="s">
        <v>458</v>
      </c>
      <c r="B438" s="4">
        <v>46009</v>
      </c>
      <c r="C438" s="4" t="str">
        <f t="shared" si="12"/>
        <v>Dec</v>
      </c>
      <c r="D438" t="s">
        <v>1522</v>
      </c>
      <c r="E438" t="s">
        <v>1525</v>
      </c>
      <c r="F438" t="s">
        <v>1535</v>
      </c>
      <c r="G438" t="s">
        <v>1545</v>
      </c>
      <c r="H438" t="s">
        <v>1550</v>
      </c>
      <c r="I438">
        <v>2024</v>
      </c>
      <c r="J438" t="s">
        <v>1554</v>
      </c>
      <c r="K438" t="s">
        <v>1556</v>
      </c>
      <c r="L438">
        <v>1213205</v>
      </c>
      <c r="M438">
        <v>1031045</v>
      </c>
      <c r="N438">
        <v>182160</v>
      </c>
      <c r="O438">
        <v>59</v>
      </c>
      <c r="P438" t="str">
        <f t="shared" si="13"/>
        <v>senior</v>
      </c>
      <c r="Q438" t="s">
        <v>1558</v>
      </c>
      <c r="R438" t="s">
        <v>1562</v>
      </c>
      <c r="S438" t="s">
        <v>1568</v>
      </c>
      <c r="T438">
        <v>283279</v>
      </c>
      <c r="U438">
        <v>5</v>
      </c>
      <c r="V438" t="s">
        <v>1575</v>
      </c>
      <c r="W438" t="s">
        <v>1593</v>
      </c>
      <c r="X438">
        <v>15.01</v>
      </c>
    </row>
    <row r="439" spans="1:24" x14ac:dyDescent="0.25">
      <c r="A439" t="s">
        <v>459</v>
      </c>
      <c r="B439" s="4">
        <v>46134</v>
      </c>
      <c r="C439" s="4" t="str">
        <f t="shared" si="12"/>
        <v>Apr</v>
      </c>
      <c r="D439" t="s">
        <v>1522</v>
      </c>
      <c r="E439" t="s">
        <v>1526</v>
      </c>
      <c r="F439" t="s">
        <v>1536</v>
      </c>
      <c r="G439" t="s">
        <v>1539</v>
      </c>
      <c r="H439" t="s">
        <v>4</v>
      </c>
      <c r="I439">
        <v>2024</v>
      </c>
      <c r="J439" t="s">
        <v>1554</v>
      </c>
      <c r="K439" t="s">
        <v>1556</v>
      </c>
      <c r="L439">
        <v>1288721</v>
      </c>
      <c r="M439">
        <v>1101558</v>
      </c>
      <c r="N439">
        <v>187163</v>
      </c>
      <c r="O439">
        <v>35</v>
      </c>
      <c r="P439" t="str">
        <f t="shared" si="13"/>
        <v>adult</v>
      </c>
      <c r="Q439" t="s">
        <v>1558</v>
      </c>
      <c r="R439" t="s">
        <v>1566</v>
      </c>
      <c r="S439" t="s">
        <v>1567</v>
      </c>
      <c r="T439">
        <v>1708260</v>
      </c>
      <c r="U439">
        <v>1</v>
      </c>
      <c r="V439" t="s">
        <v>1580</v>
      </c>
      <c r="W439" t="s">
        <v>1592</v>
      </c>
      <c r="X439">
        <v>14.52</v>
      </c>
    </row>
    <row r="440" spans="1:24" x14ac:dyDescent="0.25">
      <c r="A440" t="s">
        <v>460</v>
      </c>
      <c r="B440" s="4">
        <v>45926</v>
      </c>
      <c r="C440" s="4" t="str">
        <f t="shared" si="12"/>
        <v>Sep</v>
      </c>
      <c r="D440" t="s">
        <v>1522</v>
      </c>
      <c r="E440" t="s">
        <v>1526</v>
      </c>
      <c r="F440" t="s">
        <v>1530</v>
      </c>
      <c r="G440" t="s">
        <v>1547</v>
      </c>
      <c r="H440" t="s">
        <v>1551</v>
      </c>
      <c r="I440">
        <v>2025</v>
      </c>
      <c r="J440" t="s">
        <v>1554</v>
      </c>
      <c r="K440" t="s">
        <v>1557</v>
      </c>
      <c r="L440">
        <v>970092</v>
      </c>
      <c r="M440">
        <v>915058</v>
      </c>
      <c r="N440">
        <v>55034</v>
      </c>
      <c r="O440">
        <v>37</v>
      </c>
      <c r="P440" t="str">
        <f t="shared" si="13"/>
        <v>adult</v>
      </c>
      <c r="Q440" t="s">
        <v>1558</v>
      </c>
      <c r="R440" t="s">
        <v>1565</v>
      </c>
      <c r="S440" t="s">
        <v>1570</v>
      </c>
      <c r="T440">
        <v>1319442</v>
      </c>
      <c r="U440">
        <v>5</v>
      </c>
      <c r="V440" t="s">
        <v>1577</v>
      </c>
      <c r="W440" t="s">
        <v>1594</v>
      </c>
      <c r="X440">
        <v>5.67</v>
      </c>
    </row>
    <row r="441" spans="1:24" x14ac:dyDescent="0.25">
      <c r="A441" t="s">
        <v>461</v>
      </c>
      <c r="B441" s="4">
        <v>46071</v>
      </c>
      <c r="C441" s="4" t="str">
        <f t="shared" si="12"/>
        <v>Feb</v>
      </c>
      <c r="D441" t="s">
        <v>1522</v>
      </c>
      <c r="E441" t="s">
        <v>1523</v>
      </c>
      <c r="F441" t="s">
        <v>1536</v>
      </c>
      <c r="G441" t="s">
        <v>1544</v>
      </c>
      <c r="H441" t="s">
        <v>1551</v>
      </c>
      <c r="I441">
        <v>2025</v>
      </c>
      <c r="J441" t="s">
        <v>1554</v>
      </c>
      <c r="K441" t="s">
        <v>1557</v>
      </c>
      <c r="L441">
        <v>1101695</v>
      </c>
      <c r="M441">
        <v>905735</v>
      </c>
      <c r="N441">
        <v>195960</v>
      </c>
      <c r="O441">
        <v>36</v>
      </c>
      <c r="P441" t="str">
        <f t="shared" si="13"/>
        <v>adult</v>
      </c>
      <c r="Q441" t="s">
        <v>1558</v>
      </c>
      <c r="R441" t="s">
        <v>1561</v>
      </c>
      <c r="S441" t="s">
        <v>1570</v>
      </c>
      <c r="T441">
        <v>842714</v>
      </c>
      <c r="U441">
        <v>5</v>
      </c>
      <c r="V441" t="s">
        <v>1589</v>
      </c>
      <c r="W441" t="s">
        <v>1591</v>
      </c>
      <c r="X441">
        <v>17.79</v>
      </c>
    </row>
    <row r="442" spans="1:24" x14ac:dyDescent="0.25">
      <c r="A442" t="s">
        <v>462</v>
      </c>
      <c r="B442" s="4">
        <v>46153</v>
      </c>
      <c r="C442" s="4" t="str">
        <f t="shared" si="12"/>
        <v>May</v>
      </c>
      <c r="D442" t="s">
        <v>1522</v>
      </c>
      <c r="E442" t="s">
        <v>1523</v>
      </c>
      <c r="F442" t="s">
        <v>1532</v>
      </c>
      <c r="G442" t="s">
        <v>1546</v>
      </c>
      <c r="H442" t="s">
        <v>1550</v>
      </c>
      <c r="I442">
        <v>2024</v>
      </c>
      <c r="J442" t="s">
        <v>1554</v>
      </c>
      <c r="K442" t="s">
        <v>1557</v>
      </c>
      <c r="L442">
        <v>1246700</v>
      </c>
      <c r="M442">
        <v>1058090</v>
      </c>
      <c r="N442">
        <v>188610</v>
      </c>
      <c r="O442">
        <v>30</v>
      </c>
      <c r="P442" t="str">
        <f t="shared" si="13"/>
        <v>young</v>
      </c>
      <c r="Q442" t="s">
        <v>1558</v>
      </c>
      <c r="R442" t="s">
        <v>1562</v>
      </c>
      <c r="S442" t="s">
        <v>1567</v>
      </c>
      <c r="T442">
        <v>2136667</v>
      </c>
      <c r="U442">
        <v>5</v>
      </c>
      <c r="V442" t="s">
        <v>1590</v>
      </c>
      <c r="W442" t="s">
        <v>1592</v>
      </c>
      <c r="X442">
        <v>15.13</v>
      </c>
    </row>
    <row r="443" spans="1:24" x14ac:dyDescent="0.25">
      <c r="A443" t="s">
        <v>463</v>
      </c>
      <c r="B443" s="4">
        <v>45746</v>
      </c>
      <c r="C443" s="4" t="str">
        <f t="shared" si="12"/>
        <v>Mar</v>
      </c>
      <c r="D443" t="s">
        <v>1522</v>
      </c>
      <c r="E443" t="s">
        <v>1525</v>
      </c>
      <c r="F443" t="s">
        <v>1534</v>
      </c>
      <c r="G443" t="s">
        <v>1542</v>
      </c>
      <c r="H443" t="s">
        <v>1551</v>
      </c>
      <c r="I443">
        <v>2023</v>
      </c>
      <c r="J443" t="s">
        <v>1554</v>
      </c>
      <c r="K443" t="s">
        <v>1557</v>
      </c>
      <c r="L443">
        <v>981172</v>
      </c>
      <c r="M443">
        <v>849186</v>
      </c>
      <c r="N443">
        <v>131986</v>
      </c>
      <c r="O443">
        <v>40</v>
      </c>
      <c r="P443" t="str">
        <f t="shared" si="13"/>
        <v>adult</v>
      </c>
      <c r="Q443" t="s">
        <v>1558</v>
      </c>
      <c r="R443" t="s">
        <v>1564</v>
      </c>
      <c r="S443" t="s">
        <v>1569</v>
      </c>
      <c r="T443">
        <v>1243951</v>
      </c>
      <c r="U443">
        <v>4</v>
      </c>
      <c r="V443" t="s">
        <v>1588</v>
      </c>
      <c r="W443" t="s">
        <v>1591</v>
      </c>
      <c r="X443">
        <v>13.45</v>
      </c>
    </row>
    <row r="444" spans="1:24" x14ac:dyDescent="0.25">
      <c r="A444" t="s">
        <v>464</v>
      </c>
      <c r="B444" s="4">
        <v>45748</v>
      </c>
      <c r="C444" s="4" t="str">
        <f t="shared" si="12"/>
        <v>Apr</v>
      </c>
      <c r="D444" t="s">
        <v>1522</v>
      </c>
      <c r="E444" t="s">
        <v>1527</v>
      </c>
      <c r="F444" t="s">
        <v>1535</v>
      </c>
      <c r="G444" t="s">
        <v>1549</v>
      </c>
      <c r="H444" t="s">
        <v>1550</v>
      </c>
      <c r="I444">
        <v>2023</v>
      </c>
      <c r="J444" t="s">
        <v>1553</v>
      </c>
      <c r="K444" t="s">
        <v>1557</v>
      </c>
      <c r="L444">
        <v>1220136</v>
      </c>
      <c r="M444">
        <v>1071974</v>
      </c>
      <c r="N444">
        <v>148162</v>
      </c>
      <c r="O444">
        <v>44</v>
      </c>
      <c r="P444" t="str">
        <f t="shared" si="13"/>
        <v>adult</v>
      </c>
      <c r="Q444" t="s">
        <v>1559</v>
      </c>
      <c r="R444" t="s">
        <v>1561</v>
      </c>
      <c r="S444" t="s">
        <v>1568</v>
      </c>
      <c r="T444">
        <v>510300</v>
      </c>
      <c r="U444">
        <v>4</v>
      </c>
      <c r="V444" t="s">
        <v>1573</v>
      </c>
      <c r="W444" t="s">
        <v>1592</v>
      </c>
      <c r="X444">
        <v>12.14</v>
      </c>
    </row>
    <row r="445" spans="1:24" x14ac:dyDescent="0.25">
      <c r="A445" t="s">
        <v>465</v>
      </c>
      <c r="B445" s="4">
        <v>46218</v>
      </c>
      <c r="C445" s="4" t="str">
        <f t="shared" si="12"/>
        <v>Jul</v>
      </c>
      <c r="D445" t="s">
        <v>1522</v>
      </c>
      <c r="E445" t="s">
        <v>1523</v>
      </c>
      <c r="F445" t="s">
        <v>1531</v>
      </c>
      <c r="G445" t="s">
        <v>1539</v>
      </c>
      <c r="H445" t="s">
        <v>1551</v>
      </c>
      <c r="I445">
        <v>2025</v>
      </c>
      <c r="J445" t="s">
        <v>1554</v>
      </c>
      <c r="K445" t="s">
        <v>1557</v>
      </c>
      <c r="L445">
        <v>964747</v>
      </c>
      <c r="M445">
        <v>949747</v>
      </c>
      <c r="N445">
        <v>15000</v>
      </c>
      <c r="O445">
        <v>42</v>
      </c>
      <c r="P445" t="str">
        <f t="shared" si="13"/>
        <v>adult</v>
      </c>
      <c r="Q445" t="s">
        <v>1558</v>
      </c>
      <c r="R445" t="s">
        <v>1561</v>
      </c>
      <c r="S445" t="s">
        <v>1568</v>
      </c>
      <c r="T445">
        <v>637156</v>
      </c>
      <c r="U445">
        <v>4</v>
      </c>
      <c r="V445" t="s">
        <v>1587</v>
      </c>
      <c r="W445" t="s">
        <v>1594</v>
      </c>
      <c r="X445">
        <v>1.55</v>
      </c>
    </row>
    <row r="446" spans="1:24" x14ac:dyDescent="0.25">
      <c r="A446" t="s">
        <v>466</v>
      </c>
      <c r="B446" s="4">
        <v>45678</v>
      </c>
      <c r="C446" s="4" t="str">
        <f t="shared" si="12"/>
        <v>Jan</v>
      </c>
      <c r="D446" t="s">
        <v>1522</v>
      </c>
      <c r="E446" t="s">
        <v>1527</v>
      </c>
      <c r="F446" t="s">
        <v>1530</v>
      </c>
      <c r="G446" t="s">
        <v>1546</v>
      </c>
      <c r="H446" t="s">
        <v>4</v>
      </c>
      <c r="I446">
        <v>2024</v>
      </c>
      <c r="J446" t="s">
        <v>1554</v>
      </c>
      <c r="K446" t="s">
        <v>1556</v>
      </c>
      <c r="L446">
        <v>1438669</v>
      </c>
      <c r="M446">
        <v>1259798</v>
      </c>
      <c r="N446">
        <v>178871</v>
      </c>
      <c r="O446">
        <v>50</v>
      </c>
      <c r="P446" t="str">
        <f t="shared" si="13"/>
        <v>adult</v>
      </c>
      <c r="Q446" t="s">
        <v>1559</v>
      </c>
      <c r="R446" t="s">
        <v>1564</v>
      </c>
      <c r="S446" t="s">
        <v>1567</v>
      </c>
      <c r="T446">
        <v>535587</v>
      </c>
      <c r="U446">
        <v>3</v>
      </c>
      <c r="V446" t="s">
        <v>1571</v>
      </c>
      <c r="W446" t="s">
        <v>1591</v>
      </c>
      <c r="X446">
        <v>12.43</v>
      </c>
    </row>
    <row r="447" spans="1:24" x14ac:dyDescent="0.25">
      <c r="A447" t="s">
        <v>467</v>
      </c>
      <c r="B447" s="4">
        <v>46025</v>
      </c>
      <c r="C447" s="4" t="str">
        <f t="shared" si="12"/>
        <v>Jan</v>
      </c>
      <c r="D447" t="s">
        <v>1522</v>
      </c>
      <c r="E447" t="s">
        <v>1523</v>
      </c>
      <c r="F447" t="s">
        <v>1537</v>
      </c>
      <c r="G447" t="s">
        <v>1548</v>
      </c>
      <c r="H447" t="s">
        <v>4</v>
      </c>
      <c r="I447">
        <v>2025</v>
      </c>
      <c r="J447" t="s">
        <v>1554</v>
      </c>
      <c r="K447" t="s">
        <v>1556</v>
      </c>
      <c r="L447">
        <v>1668769</v>
      </c>
      <c r="M447">
        <v>1442158</v>
      </c>
      <c r="N447">
        <v>226611</v>
      </c>
      <c r="O447">
        <v>21</v>
      </c>
      <c r="P447" t="str">
        <f t="shared" si="13"/>
        <v>young</v>
      </c>
      <c r="Q447" t="s">
        <v>1559</v>
      </c>
      <c r="R447" t="s">
        <v>1561</v>
      </c>
      <c r="S447" t="s">
        <v>1567</v>
      </c>
      <c r="T447">
        <v>1976788</v>
      </c>
      <c r="U447">
        <v>5</v>
      </c>
      <c r="V447" t="s">
        <v>1581</v>
      </c>
      <c r="W447" t="s">
        <v>1591</v>
      </c>
      <c r="X447">
        <v>13.58</v>
      </c>
    </row>
    <row r="448" spans="1:24" x14ac:dyDescent="0.25">
      <c r="A448" t="s">
        <v>468</v>
      </c>
      <c r="B448" s="4">
        <v>46144</v>
      </c>
      <c r="C448" s="4" t="str">
        <f t="shared" si="12"/>
        <v>May</v>
      </c>
      <c r="D448" t="s">
        <v>1522</v>
      </c>
      <c r="E448" t="s">
        <v>1527</v>
      </c>
      <c r="F448" t="s">
        <v>1536</v>
      </c>
      <c r="G448" t="s">
        <v>1548</v>
      </c>
      <c r="H448" t="s">
        <v>1550</v>
      </c>
      <c r="I448">
        <v>2023</v>
      </c>
      <c r="J448" t="s">
        <v>1553</v>
      </c>
      <c r="K448" t="s">
        <v>1556</v>
      </c>
      <c r="L448">
        <v>1281147</v>
      </c>
      <c r="M448">
        <v>1203611</v>
      </c>
      <c r="N448">
        <v>77536</v>
      </c>
      <c r="O448">
        <v>35</v>
      </c>
      <c r="P448" t="str">
        <f t="shared" si="13"/>
        <v>adult</v>
      </c>
      <c r="Q448" t="s">
        <v>1558</v>
      </c>
      <c r="R448" t="s">
        <v>1563</v>
      </c>
      <c r="S448" t="s">
        <v>1570</v>
      </c>
      <c r="T448">
        <v>1402439</v>
      </c>
      <c r="U448">
        <v>2</v>
      </c>
      <c r="V448" t="s">
        <v>1590</v>
      </c>
      <c r="W448" t="s">
        <v>1592</v>
      </c>
      <c r="X448">
        <v>6.05</v>
      </c>
    </row>
    <row r="449" spans="1:24" x14ac:dyDescent="0.25">
      <c r="A449" t="s">
        <v>469</v>
      </c>
      <c r="B449" s="4">
        <v>45981</v>
      </c>
      <c r="C449" s="4" t="str">
        <f t="shared" si="12"/>
        <v>Nov</v>
      </c>
      <c r="D449" t="s">
        <v>1522</v>
      </c>
      <c r="E449" t="s">
        <v>1527</v>
      </c>
      <c r="F449" t="s">
        <v>1529</v>
      </c>
      <c r="G449" t="s">
        <v>1548</v>
      </c>
      <c r="H449" t="s">
        <v>4</v>
      </c>
      <c r="I449">
        <v>2023</v>
      </c>
      <c r="J449" t="s">
        <v>1554</v>
      </c>
      <c r="K449" t="s">
        <v>1556</v>
      </c>
      <c r="L449">
        <v>1780816</v>
      </c>
      <c r="M449">
        <v>1650532</v>
      </c>
      <c r="N449">
        <v>130284</v>
      </c>
      <c r="O449">
        <v>49</v>
      </c>
      <c r="P449" t="str">
        <f t="shared" si="13"/>
        <v>adult</v>
      </c>
      <c r="Q449" t="s">
        <v>1559</v>
      </c>
      <c r="R449" t="s">
        <v>1563</v>
      </c>
      <c r="S449" t="s">
        <v>1568</v>
      </c>
      <c r="T449">
        <v>241574</v>
      </c>
      <c r="U449">
        <v>3</v>
      </c>
      <c r="V449" t="s">
        <v>1583</v>
      </c>
      <c r="W449" t="s">
        <v>1593</v>
      </c>
      <c r="X449">
        <v>7.32</v>
      </c>
    </row>
    <row r="450" spans="1:24" x14ac:dyDescent="0.25">
      <c r="A450" t="s">
        <v>470</v>
      </c>
      <c r="B450" s="4">
        <v>46213</v>
      </c>
      <c r="C450" s="4" t="str">
        <f t="shared" si="12"/>
        <v>Jul</v>
      </c>
      <c r="D450" t="s">
        <v>1522</v>
      </c>
      <c r="E450" t="s">
        <v>1527</v>
      </c>
      <c r="F450" t="s">
        <v>1533</v>
      </c>
      <c r="G450" t="s">
        <v>1549</v>
      </c>
      <c r="H450" t="s">
        <v>1551</v>
      </c>
      <c r="I450">
        <v>2026</v>
      </c>
      <c r="J450" t="s">
        <v>1554</v>
      </c>
      <c r="K450" t="s">
        <v>1556</v>
      </c>
      <c r="L450">
        <v>957577</v>
      </c>
      <c r="M450">
        <v>937991</v>
      </c>
      <c r="N450">
        <v>19586</v>
      </c>
      <c r="O450">
        <v>29</v>
      </c>
      <c r="P450" t="str">
        <f t="shared" si="13"/>
        <v>young</v>
      </c>
      <c r="Q450" t="s">
        <v>1558</v>
      </c>
      <c r="R450" t="s">
        <v>1563</v>
      </c>
      <c r="S450" t="s">
        <v>1567</v>
      </c>
      <c r="T450">
        <v>76443</v>
      </c>
      <c r="U450">
        <v>2</v>
      </c>
      <c r="V450" t="s">
        <v>1587</v>
      </c>
      <c r="W450" t="s">
        <v>1594</v>
      </c>
      <c r="X450">
        <v>2.0499999999999998</v>
      </c>
    </row>
    <row r="451" spans="1:24" x14ac:dyDescent="0.25">
      <c r="A451" t="s">
        <v>471</v>
      </c>
      <c r="B451" s="4">
        <v>46169</v>
      </c>
      <c r="C451" s="4" t="str">
        <f t="shared" ref="C451:C514" si="14">TEXT(B451,"MMM")</f>
        <v>May</v>
      </c>
      <c r="D451" t="s">
        <v>1522</v>
      </c>
      <c r="E451" t="s">
        <v>1527</v>
      </c>
      <c r="F451" t="s">
        <v>1530</v>
      </c>
      <c r="G451" t="s">
        <v>1545</v>
      </c>
      <c r="H451" t="s">
        <v>1551</v>
      </c>
      <c r="I451">
        <v>2025</v>
      </c>
      <c r="J451" t="s">
        <v>1554</v>
      </c>
      <c r="K451" t="s">
        <v>1556</v>
      </c>
      <c r="L451">
        <v>878494</v>
      </c>
      <c r="M451">
        <v>777735</v>
      </c>
      <c r="N451">
        <v>100759</v>
      </c>
      <c r="O451">
        <v>63</v>
      </c>
      <c r="P451" t="str">
        <f t="shared" ref="P451:P514" si="15">IF(O451&gt;50,"senior",IF(O451&gt;30,"adult","young"))</f>
        <v>senior</v>
      </c>
      <c r="Q451" t="s">
        <v>1558</v>
      </c>
      <c r="R451" t="s">
        <v>1563</v>
      </c>
      <c r="S451" t="s">
        <v>1568</v>
      </c>
      <c r="T451">
        <v>997055</v>
      </c>
      <c r="U451">
        <v>1</v>
      </c>
      <c r="V451" t="s">
        <v>1590</v>
      </c>
      <c r="W451" t="s">
        <v>1592</v>
      </c>
      <c r="X451">
        <v>11.47</v>
      </c>
    </row>
    <row r="452" spans="1:24" x14ac:dyDescent="0.25">
      <c r="A452" t="s">
        <v>472</v>
      </c>
      <c r="B452" s="4">
        <v>46088</v>
      </c>
      <c r="C452" s="4" t="str">
        <f t="shared" si="14"/>
        <v>Mar</v>
      </c>
      <c r="D452" t="s">
        <v>1522</v>
      </c>
      <c r="E452" t="s">
        <v>1524</v>
      </c>
      <c r="F452" t="s">
        <v>1537</v>
      </c>
      <c r="G452" t="s">
        <v>1548</v>
      </c>
      <c r="H452" t="s">
        <v>1552</v>
      </c>
      <c r="I452">
        <v>2023</v>
      </c>
      <c r="J452" t="s">
        <v>1555</v>
      </c>
      <c r="K452" t="s">
        <v>1556</v>
      </c>
      <c r="L452">
        <v>1942588</v>
      </c>
      <c r="M452">
        <v>1627600</v>
      </c>
      <c r="N452">
        <v>314988</v>
      </c>
      <c r="O452">
        <v>63</v>
      </c>
      <c r="P452" t="str">
        <f t="shared" si="15"/>
        <v>senior</v>
      </c>
      <c r="Q452" t="s">
        <v>1558</v>
      </c>
      <c r="R452" t="s">
        <v>1561</v>
      </c>
      <c r="S452" t="s">
        <v>1567</v>
      </c>
      <c r="T452">
        <v>1364982</v>
      </c>
      <c r="U452">
        <v>4</v>
      </c>
      <c r="V452" t="s">
        <v>1586</v>
      </c>
      <c r="W452" t="s">
        <v>1591</v>
      </c>
      <c r="X452">
        <v>16.21</v>
      </c>
    </row>
    <row r="453" spans="1:24" x14ac:dyDescent="0.25">
      <c r="A453" t="s">
        <v>473</v>
      </c>
      <c r="B453" s="4">
        <v>46031</v>
      </c>
      <c r="C453" s="4" t="str">
        <f t="shared" si="14"/>
        <v>Jan</v>
      </c>
      <c r="D453" t="s">
        <v>1522</v>
      </c>
      <c r="E453" t="s">
        <v>1526</v>
      </c>
      <c r="F453" t="s">
        <v>1530</v>
      </c>
      <c r="G453" t="s">
        <v>1545</v>
      </c>
      <c r="H453" t="s">
        <v>4</v>
      </c>
      <c r="I453">
        <v>2026</v>
      </c>
      <c r="J453" t="s">
        <v>1554</v>
      </c>
      <c r="K453" t="s">
        <v>1556</v>
      </c>
      <c r="L453">
        <v>1892104</v>
      </c>
      <c r="M453">
        <v>1653171</v>
      </c>
      <c r="N453">
        <v>238933</v>
      </c>
      <c r="O453">
        <v>47</v>
      </c>
      <c r="P453" t="str">
        <f t="shared" si="15"/>
        <v>adult</v>
      </c>
      <c r="Q453" t="s">
        <v>1559</v>
      </c>
      <c r="R453" t="s">
        <v>1564</v>
      </c>
      <c r="S453" t="s">
        <v>1567</v>
      </c>
      <c r="T453">
        <v>1186300</v>
      </c>
      <c r="U453">
        <v>1</v>
      </c>
      <c r="V453" t="s">
        <v>1581</v>
      </c>
      <c r="W453" t="s">
        <v>1591</v>
      </c>
      <c r="X453">
        <v>12.63</v>
      </c>
    </row>
    <row r="454" spans="1:24" x14ac:dyDescent="0.25">
      <c r="A454" t="s">
        <v>474</v>
      </c>
      <c r="B454" s="4">
        <v>45989</v>
      </c>
      <c r="C454" s="4" t="str">
        <f t="shared" si="14"/>
        <v>Nov</v>
      </c>
      <c r="D454" t="s">
        <v>1522</v>
      </c>
      <c r="E454" t="s">
        <v>1524</v>
      </c>
      <c r="F454" t="s">
        <v>1531</v>
      </c>
      <c r="G454" t="s">
        <v>1540</v>
      </c>
      <c r="H454" t="s">
        <v>4</v>
      </c>
      <c r="I454">
        <v>2026</v>
      </c>
      <c r="J454" t="s">
        <v>1554</v>
      </c>
      <c r="K454" t="s">
        <v>1556</v>
      </c>
      <c r="L454">
        <v>1391126</v>
      </c>
      <c r="M454">
        <v>1229461</v>
      </c>
      <c r="N454">
        <v>161665</v>
      </c>
      <c r="O454">
        <v>46</v>
      </c>
      <c r="P454" t="str">
        <f t="shared" si="15"/>
        <v>adult</v>
      </c>
      <c r="Q454" t="s">
        <v>1558</v>
      </c>
      <c r="R454" t="s">
        <v>1566</v>
      </c>
      <c r="S454" t="s">
        <v>1567</v>
      </c>
      <c r="T454">
        <v>124756</v>
      </c>
      <c r="U454">
        <v>3</v>
      </c>
      <c r="V454" t="s">
        <v>1583</v>
      </c>
      <c r="W454" t="s">
        <v>1593</v>
      </c>
      <c r="X454">
        <v>11.62</v>
      </c>
    </row>
    <row r="455" spans="1:24" x14ac:dyDescent="0.25">
      <c r="A455" t="s">
        <v>475</v>
      </c>
      <c r="B455" s="4">
        <v>45714</v>
      </c>
      <c r="C455" s="4" t="str">
        <f t="shared" si="14"/>
        <v>Feb</v>
      </c>
      <c r="D455" t="s">
        <v>1522</v>
      </c>
      <c r="E455" t="s">
        <v>1525</v>
      </c>
      <c r="F455" t="s">
        <v>1529</v>
      </c>
      <c r="G455" t="s">
        <v>1542</v>
      </c>
      <c r="H455" t="s">
        <v>1550</v>
      </c>
      <c r="I455">
        <v>2025</v>
      </c>
      <c r="J455" t="s">
        <v>1554</v>
      </c>
      <c r="K455" t="s">
        <v>1557</v>
      </c>
      <c r="L455">
        <v>1651787</v>
      </c>
      <c r="M455">
        <v>1463437</v>
      </c>
      <c r="N455">
        <v>188350</v>
      </c>
      <c r="O455">
        <v>48</v>
      </c>
      <c r="P455" t="str">
        <f t="shared" si="15"/>
        <v>adult</v>
      </c>
      <c r="Q455" t="s">
        <v>1558</v>
      </c>
      <c r="R455" t="s">
        <v>1562</v>
      </c>
      <c r="S455" t="s">
        <v>1570</v>
      </c>
      <c r="T455">
        <v>621983</v>
      </c>
      <c r="U455">
        <v>4</v>
      </c>
      <c r="V455" t="s">
        <v>1578</v>
      </c>
      <c r="W455" t="s">
        <v>1591</v>
      </c>
      <c r="X455">
        <v>11.4</v>
      </c>
    </row>
    <row r="456" spans="1:24" x14ac:dyDescent="0.25">
      <c r="A456" t="s">
        <v>476</v>
      </c>
      <c r="B456" s="4">
        <v>45918</v>
      </c>
      <c r="C456" s="4" t="str">
        <f t="shared" si="14"/>
        <v>Sep</v>
      </c>
      <c r="D456" t="s">
        <v>1522</v>
      </c>
      <c r="E456" t="s">
        <v>1526</v>
      </c>
      <c r="F456" t="s">
        <v>1530</v>
      </c>
      <c r="G456" t="s">
        <v>1544</v>
      </c>
      <c r="H456" t="s">
        <v>4</v>
      </c>
      <c r="I456">
        <v>2024</v>
      </c>
      <c r="J456" t="s">
        <v>1554</v>
      </c>
      <c r="K456" t="s">
        <v>1556</v>
      </c>
      <c r="L456">
        <v>1584473</v>
      </c>
      <c r="M456">
        <v>1289537</v>
      </c>
      <c r="N456">
        <v>294936</v>
      </c>
      <c r="O456">
        <v>26</v>
      </c>
      <c r="P456" t="str">
        <f t="shared" si="15"/>
        <v>young</v>
      </c>
      <c r="Q456" t="s">
        <v>1559</v>
      </c>
      <c r="R456" t="s">
        <v>1566</v>
      </c>
      <c r="S456" t="s">
        <v>1567</v>
      </c>
      <c r="T456">
        <v>1896764</v>
      </c>
      <c r="U456">
        <v>2</v>
      </c>
      <c r="V456" t="s">
        <v>1577</v>
      </c>
      <c r="W456" t="s">
        <v>1594</v>
      </c>
      <c r="X456">
        <v>18.61</v>
      </c>
    </row>
    <row r="457" spans="1:24" x14ac:dyDescent="0.25">
      <c r="A457" t="s">
        <v>477</v>
      </c>
      <c r="B457" s="4">
        <v>46079</v>
      </c>
      <c r="C457" s="4" t="str">
        <f t="shared" si="14"/>
        <v>Feb</v>
      </c>
      <c r="D457" t="s">
        <v>1522</v>
      </c>
      <c r="E457" t="s">
        <v>1525</v>
      </c>
      <c r="F457" t="s">
        <v>1531</v>
      </c>
      <c r="G457" t="s">
        <v>1543</v>
      </c>
      <c r="H457" t="s">
        <v>4</v>
      </c>
      <c r="I457">
        <v>2023</v>
      </c>
      <c r="J457" t="s">
        <v>1554</v>
      </c>
      <c r="K457" t="s">
        <v>1557</v>
      </c>
      <c r="L457">
        <v>1200640</v>
      </c>
      <c r="M457">
        <v>1109420</v>
      </c>
      <c r="N457">
        <v>91220</v>
      </c>
      <c r="O457">
        <v>53</v>
      </c>
      <c r="P457" t="str">
        <f t="shared" si="15"/>
        <v>senior</v>
      </c>
      <c r="Q457" t="s">
        <v>1559</v>
      </c>
      <c r="R457" t="s">
        <v>1564</v>
      </c>
      <c r="S457" t="s">
        <v>1567</v>
      </c>
      <c r="T457">
        <v>861331</v>
      </c>
      <c r="U457">
        <v>5</v>
      </c>
      <c r="V457" t="s">
        <v>1589</v>
      </c>
      <c r="W457" t="s">
        <v>1591</v>
      </c>
      <c r="X457">
        <v>7.6</v>
      </c>
    </row>
    <row r="458" spans="1:24" x14ac:dyDescent="0.25">
      <c r="A458" t="s">
        <v>478</v>
      </c>
      <c r="B458" s="4">
        <v>46145</v>
      </c>
      <c r="C458" s="4" t="str">
        <f t="shared" si="14"/>
        <v>May</v>
      </c>
      <c r="D458" t="s">
        <v>1522</v>
      </c>
      <c r="E458" t="s">
        <v>1524</v>
      </c>
      <c r="F458" t="s">
        <v>1537</v>
      </c>
      <c r="G458" t="s">
        <v>1549</v>
      </c>
      <c r="H458" t="s">
        <v>1550</v>
      </c>
      <c r="I458">
        <v>2024</v>
      </c>
      <c r="J458" t="s">
        <v>1554</v>
      </c>
      <c r="K458" t="s">
        <v>1556</v>
      </c>
      <c r="L458">
        <v>1452158</v>
      </c>
      <c r="M458">
        <v>1382194</v>
      </c>
      <c r="N458">
        <v>69964</v>
      </c>
      <c r="O458">
        <v>34</v>
      </c>
      <c r="P458" t="str">
        <f t="shared" si="15"/>
        <v>adult</v>
      </c>
      <c r="Q458" t="s">
        <v>1558</v>
      </c>
      <c r="R458" t="s">
        <v>1564</v>
      </c>
      <c r="S458" t="s">
        <v>1568</v>
      </c>
      <c r="T458">
        <v>1659159</v>
      </c>
      <c r="U458">
        <v>2</v>
      </c>
      <c r="V458" t="s">
        <v>1590</v>
      </c>
      <c r="W458" t="s">
        <v>1592</v>
      </c>
      <c r="X458">
        <v>4.82</v>
      </c>
    </row>
    <row r="459" spans="1:24" x14ac:dyDescent="0.25">
      <c r="A459" t="s">
        <v>479</v>
      </c>
      <c r="B459" s="4">
        <v>45915</v>
      </c>
      <c r="C459" s="4" t="str">
        <f t="shared" si="14"/>
        <v>Sep</v>
      </c>
      <c r="D459" t="s">
        <v>1522</v>
      </c>
      <c r="E459" t="s">
        <v>1525</v>
      </c>
      <c r="F459" t="s">
        <v>1534</v>
      </c>
      <c r="G459" t="s">
        <v>1547</v>
      </c>
      <c r="H459" t="s">
        <v>1550</v>
      </c>
      <c r="I459">
        <v>2025</v>
      </c>
      <c r="J459" t="s">
        <v>1554</v>
      </c>
      <c r="K459" t="s">
        <v>1557</v>
      </c>
      <c r="L459">
        <v>1517370</v>
      </c>
      <c r="M459">
        <v>1444146</v>
      </c>
      <c r="N459">
        <v>73224</v>
      </c>
      <c r="O459">
        <v>56</v>
      </c>
      <c r="P459" t="str">
        <f t="shared" si="15"/>
        <v>senior</v>
      </c>
      <c r="Q459" t="s">
        <v>1559</v>
      </c>
      <c r="R459" t="s">
        <v>1561</v>
      </c>
      <c r="S459" t="s">
        <v>1567</v>
      </c>
      <c r="T459">
        <v>2093474</v>
      </c>
      <c r="U459">
        <v>5</v>
      </c>
      <c r="V459" t="s">
        <v>1577</v>
      </c>
      <c r="W459" t="s">
        <v>1594</v>
      </c>
      <c r="X459">
        <v>4.83</v>
      </c>
    </row>
    <row r="460" spans="1:24" x14ac:dyDescent="0.25">
      <c r="A460" t="s">
        <v>480</v>
      </c>
      <c r="B460" s="4">
        <v>46066</v>
      </c>
      <c r="C460" s="4" t="str">
        <f t="shared" si="14"/>
        <v>Feb</v>
      </c>
      <c r="D460" t="s">
        <v>1522</v>
      </c>
      <c r="E460" t="s">
        <v>1524</v>
      </c>
      <c r="F460" t="s">
        <v>1535</v>
      </c>
      <c r="G460" t="s">
        <v>1543</v>
      </c>
      <c r="H460" t="s">
        <v>4</v>
      </c>
      <c r="I460">
        <v>2023</v>
      </c>
      <c r="J460" t="s">
        <v>1554</v>
      </c>
      <c r="K460" t="s">
        <v>1556</v>
      </c>
      <c r="L460">
        <v>1590215</v>
      </c>
      <c r="M460">
        <v>1392558</v>
      </c>
      <c r="N460">
        <v>197657</v>
      </c>
      <c r="O460">
        <v>56</v>
      </c>
      <c r="P460" t="str">
        <f t="shared" si="15"/>
        <v>senior</v>
      </c>
      <c r="Q460" t="s">
        <v>1558</v>
      </c>
      <c r="R460" t="s">
        <v>1564</v>
      </c>
      <c r="S460" t="s">
        <v>1568</v>
      </c>
      <c r="T460">
        <v>1702287</v>
      </c>
      <c r="U460">
        <v>3</v>
      </c>
      <c r="V460" t="s">
        <v>1589</v>
      </c>
      <c r="W460" t="s">
        <v>1591</v>
      </c>
      <c r="X460">
        <v>12.43</v>
      </c>
    </row>
    <row r="461" spans="1:24" x14ac:dyDescent="0.25">
      <c r="A461" t="s">
        <v>481</v>
      </c>
      <c r="B461" s="4">
        <v>45849</v>
      </c>
      <c r="C461" s="4" t="str">
        <f t="shared" si="14"/>
        <v>Jul</v>
      </c>
      <c r="D461" t="s">
        <v>1522</v>
      </c>
      <c r="E461" t="s">
        <v>1524</v>
      </c>
      <c r="F461" t="s">
        <v>1529</v>
      </c>
      <c r="G461" t="s">
        <v>1546</v>
      </c>
      <c r="H461" t="s">
        <v>4</v>
      </c>
      <c r="I461">
        <v>2025</v>
      </c>
      <c r="J461" t="s">
        <v>1554</v>
      </c>
      <c r="K461" t="s">
        <v>1557</v>
      </c>
      <c r="L461">
        <v>1795886</v>
      </c>
      <c r="M461">
        <v>1474738</v>
      </c>
      <c r="N461">
        <v>321148</v>
      </c>
      <c r="O461">
        <v>47</v>
      </c>
      <c r="P461" t="str">
        <f t="shared" si="15"/>
        <v>adult</v>
      </c>
      <c r="Q461" t="s">
        <v>1558</v>
      </c>
      <c r="R461" t="s">
        <v>1561</v>
      </c>
      <c r="S461" t="s">
        <v>1567</v>
      </c>
      <c r="T461">
        <v>1128594</v>
      </c>
      <c r="U461">
        <v>3</v>
      </c>
      <c r="V461" t="s">
        <v>1579</v>
      </c>
      <c r="W461" t="s">
        <v>1594</v>
      </c>
      <c r="X461">
        <v>17.88</v>
      </c>
    </row>
    <row r="462" spans="1:24" x14ac:dyDescent="0.25">
      <c r="A462" t="s">
        <v>482</v>
      </c>
      <c r="B462" s="4">
        <v>45891</v>
      </c>
      <c r="C462" s="4" t="str">
        <f t="shared" si="14"/>
        <v>Aug</v>
      </c>
      <c r="D462" t="s">
        <v>1522</v>
      </c>
      <c r="E462" t="s">
        <v>1526</v>
      </c>
      <c r="F462" t="s">
        <v>1531</v>
      </c>
      <c r="G462" t="s">
        <v>1544</v>
      </c>
      <c r="H462" t="s">
        <v>1550</v>
      </c>
      <c r="I462">
        <v>2026</v>
      </c>
      <c r="J462" t="s">
        <v>1554</v>
      </c>
      <c r="K462" t="s">
        <v>1556</v>
      </c>
      <c r="L462">
        <v>1322680</v>
      </c>
      <c r="M462">
        <v>1229401</v>
      </c>
      <c r="N462">
        <v>93279</v>
      </c>
      <c r="O462">
        <v>36</v>
      </c>
      <c r="P462" t="str">
        <f t="shared" si="15"/>
        <v>adult</v>
      </c>
      <c r="Q462" t="s">
        <v>1558</v>
      </c>
      <c r="R462" t="s">
        <v>1564</v>
      </c>
      <c r="S462" t="s">
        <v>1567</v>
      </c>
      <c r="T462">
        <v>2132225</v>
      </c>
      <c r="U462">
        <v>2</v>
      </c>
      <c r="V462" t="s">
        <v>1585</v>
      </c>
      <c r="W462" t="s">
        <v>1594</v>
      </c>
      <c r="X462">
        <v>7.05</v>
      </c>
    </row>
    <row r="463" spans="1:24" x14ac:dyDescent="0.25">
      <c r="A463" t="s">
        <v>483</v>
      </c>
      <c r="B463" s="4">
        <v>46142</v>
      </c>
      <c r="C463" s="4" t="str">
        <f t="shared" si="14"/>
        <v>Apr</v>
      </c>
      <c r="D463" t="s">
        <v>1522</v>
      </c>
      <c r="E463" t="s">
        <v>1527</v>
      </c>
      <c r="F463" t="s">
        <v>1531</v>
      </c>
      <c r="G463" t="s">
        <v>1544</v>
      </c>
      <c r="H463" t="s">
        <v>1551</v>
      </c>
      <c r="I463">
        <v>2025</v>
      </c>
      <c r="J463" t="s">
        <v>1554</v>
      </c>
      <c r="K463" t="s">
        <v>1556</v>
      </c>
      <c r="L463">
        <v>939978</v>
      </c>
      <c r="M463">
        <v>884649</v>
      </c>
      <c r="N463">
        <v>55329</v>
      </c>
      <c r="O463">
        <v>57</v>
      </c>
      <c r="P463" t="str">
        <f t="shared" si="15"/>
        <v>senior</v>
      </c>
      <c r="Q463" t="s">
        <v>1558</v>
      </c>
      <c r="R463" t="s">
        <v>1564</v>
      </c>
      <c r="S463" t="s">
        <v>1567</v>
      </c>
      <c r="T463">
        <v>1794735</v>
      </c>
      <c r="U463">
        <v>2</v>
      </c>
      <c r="V463" t="s">
        <v>1580</v>
      </c>
      <c r="W463" t="s">
        <v>1592</v>
      </c>
      <c r="X463">
        <v>5.89</v>
      </c>
    </row>
    <row r="464" spans="1:24" x14ac:dyDescent="0.25">
      <c r="A464" t="s">
        <v>484</v>
      </c>
      <c r="B464" s="4">
        <v>46134</v>
      </c>
      <c r="C464" s="4" t="str">
        <f t="shared" si="14"/>
        <v>Apr</v>
      </c>
      <c r="D464" t="s">
        <v>1522</v>
      </c>
      <c r="E464" t="s">
        <v>1523</v>
      </c>
      <c r="F464" t="s">
        <v>1529</v>
      </c>
      <c r="G464" t="s">
        <v>1542</v>
      </c>
      <c r="H464" t="s">
        <v>1552</v>
      </c>
      <c r="I464">
        <v>2022</v>
      </c>
      <c r="J464" t="s">
        <v>1555</v>
      </c>
      <c r="K464" t="s">
        <v>1556</v>
      </c>
      <c r="L464">
        <v>2038505</v>
      </c>
      <c r="M464">
        <v>1756570</v>
      </c>
      <c r="N464">
        <v>281935</v>
      </c>
      <c r="O464">
        <v>40</v>
      </c>
      <c r="P464" t="str">
        <f t="shared" si="15"/>
        <v>adult</v>
      </c>
      <c r="Q464" t="s">
        <v>1559</v>
      </c>
      <c r="R464" t="s">
        <v>1562</v>
      </c>
      <c r="S464" t="s">
        <v>1569</v>
      </c>
      <c r="T464">
        <v>321932</v>
      </c>
      <c r="U464">
        <v>2</v>
      </c>
      <c r="V464" t="s">
        <v>1580</v>
      </c>
      <c r="W464" t="s">
        <v>1592</v>
      </c>
      <c r="X464">
        <v>13.83</v>
      </c>
    </row>
    <row r="465" spans="1:24" x14ac:dyDescent="0.25">
      <c r="A465" t="s">
        <v>485</v>
      </c>
      <c r="B465" s="4">
        <v>46056</v>
      </c>
      <c r="C465" s="4" t="str">
        <f t="shared" si="14"/>
        <v>Feb</v>
      </c>
      <c r="D465" t="s">
        <v>1522</v>
      </c>
      <c r="E465" t="s">
        <v>1526</v>
      </c>
      <c r="F465" t="s">
        <v>1528</v>
      </c>
      <c r="G465" t="s">
        <v>1543</v>
      </c>
      <c r="H465" t="s">
        <v>1551</v>
      </c>
      <c r="I465">
        <v>2024</v>
      </c>
      <c r="J465" t="s">
        <v>1554</v>
      </c>
      <c r="K465" t="s">
        <v>1556</v>
      </c>
      <c r="L465">
        <v>809833</v>
      </c>
      <c r="M465">
        <v>762916</v>
      </c>
      <c r="N465">
        <v>46917</v>
      </c>
      <c r="O465">
        <v>49</v>
      </c>
      <c r="P465" t="str">
        <f t="shared" si="15"/>
        <v>adult</v>
      </c>
      <c r="Q465" t="s">
        <v>1558</v>
      </c>
      <c r="R465" t="s">
        <v>1566</v>
      </c>
      <c r="S465" t="s">
        <v>1568</v>
      </c>
      <c r="T465">
        <v>1980263</v>
      </c>
      <c r="U465">
        <v>5</v>
      </c>
      <c r="V465" t="s">
        <v>1589</v>
      </c>
      <c r="W465" t="s">
        <v>1591</v>
      </c>
      <c r="X465">
        <v>5.79</v>
      </c>
    </row>
    <row r="466" spans="1:24" x14ac:dyDescent="0.25">
      <c r="A466" t="s">
        <v>486</v>
      </c>
      <c r="B466" s="4">
        <v>45902</v>
      </c>
      <c r="C466" s="4" t="str">
        <f t="shared" si="14"/>
        <v>Sep</v>
      </c>
      <c r="D466" t="s">
        <v>1522</v>
      </c>
      <c r="E466" t="s">
        <v>1524</v>
      </c>
      <c r="F466" t="s">
        <v>1530</v>
      </c>
      <c r="G466" t="s">
        <v>1540</v>
      </c>
      <c r="H466" t="s">
        <v>4</v>
      </c>
      <c r="I466">
        <v>2023</v>
      </c>
      <c r="J466" t="s">
        <v>1554</v>
      </c>
      <c r="K466" t="s">
        <v>1556</v>
      </c>
      <c r="L466">
        <v>1322784</v>
      </c>
      <c r="M466">
        <v>1168269</v>
      </c>
      <c r="N466">
        <v>154515</v>
      </c>
      <c r="O466">
        <v>37</v>
      </c>
      <c r="P466" t="str">
        <f t="shared" si="15"/>
        <v>adult</v>
      </c>
      <c r="Q466" t="s">
        <v>1559</v>
      </c>
      <c r="R466" t="s">
        <v>1561</v>
      </c>
      <c r="S466" t="s">
        <v>1570</v>
      </c>
      <c r="T466">
        <v>2104788</v>
      </c>
      <c r="U466">
        <v>1</v>
      </c>
      <c r="V466" t="s">
        <v>1577</v>
      </c>
      <c r="W466" t="s">
        <v>1594</v>
      </c>
      <c r="X466">
        <v>11.68</v>
      </c>
    </row>
    <row r="467" spans="1:24" x14ac:dyDescent="0.25">
      <c r="A467" t="s">
        <v>487</v>
      </c>
      <c r="B467" s="4">
        <v>46191</v>
      </c>
      <c r="C467" s="4" t="str">
        <f t="shared" si="14"/>
        <v>Jun</v>
      </c>
      <c r="D467" t="s">
        <v>1522</v>
      </c>
      <c r="E467" t="s">
        <v>1526</v>
      </c>
      <c r="F467" t="s">
        <v>1529</v>
      </c>
      <c r="G467" t="s">
        <v>1542</v>
      </c>
      <c r="H467" t="s">
        <v>4</v>
      </c>
      <c r="I467">
        <v>2025</v>
      </c>
      <c r="J467" t="s">
        <v>1554</v>
      </c>
      <c r="K467" t="s">
        <v>1556</v>
      </c>
      <c r="L467">
        <v>1644752</v>
      </c>
      <c r="M467">
        <v>1326012</v>
      </c>
      <c r="N467">
        <v>318740</v>
      </c>
      <c r="O467">
        <v>29</v>
      </c>
      <c r="P467" t="str">
        <f t="shared" si="15"/>
        <v>young</v>
      </c>
      <c r="Q467" t="s">
        <v>1558</v>
      </c>
      <c r="R467" t="s">
        <v>1566</v>
      </c>
      <c r="S467" t="s">
        <v>1567</v>
      </c>
      <c r="T467">
        <v>1072839</v>
      </c>
      <c r="U467">
        <v>1</v>
      </c>
      <c r="V467" t="s">
        <v>1582</v>
      </c>
      <c r="W467" t="s">
        <v>1592</v>
      </c>
      <c r="X467">
        <v>19.38</v>
      </c>
    </row>
    <row r="468" spans="1:24" x14ac:dyDescent="0.25">
      <c r="A468" t="s">
        <v>488</v>
      </c>
      <c r="B468" s="4">
        <v>45760</v>
      </c>
      <c r="C468" s="4" t="str">
        <f t="shared" si="14"/>
        <v>Apr</v>
      </c>
      <c r="D468" t="s">
        <v>1522</v>
      </c>
      <c r="E468" t="s">
        <v>1525</v>
      </c>
      <c r="F468" t="s">
        <v>1528</v>
      </c>
      <c r="G468" t="s">
        <v>1541</v>
      </c>
      <c r="H468" t="s">
        <v>1551</v>
      </c>
      <c r="I468">
        <v>2024</v>
      </c>
      <c r="J468" t="s">
        <v>1554</v>
      </c>
      <c r="K468" t="s">
        <v>1556</v>
      </c>
      <c r="L468">
        <v>991353</v>
      </c>
      <c r="M468">
        <v>947175</v>
      </c>
      <c r="N468">
        <v>44178</v>
      </c>
      <c r="O468">
        <v>48</v>
      </c>
      <c r="P468" t="str">
        <f t="shared" si="15"/>
        <v>adult</v>
      </c>
      <c r="Q468" t="s">
        <v>1558</v>
      </c>
      <c r="R468" t="s">
        <v>1565</v>
      </c>
      <c r="S468" t="s">
        <v>1567</v>
      </c>
      <c r="T468">
        <v>61360</v>
      </c>
      <c r="U468">
        <v>2</v>
      </c>
      <c r="V468" t="s">
        <v>1573</v>
      </c>
      <c r="W468" t="s">
        <v>1592</v>
      </c>
      <c r="X468">
        <v>4.46</v>
      </c>
    </row>
    <row r="469" spans="1:24" x14ac:dyDescent="0.25">
      <c r="A469" t="s">
        <v>489</v>
      </c>
      <c r="B469" s="4">
        <v>45676</v>
      </c>
      <c r="C469" s="4" t="str">
        <f t="shared" si="14"/>
        <v>Jan</v>
      </c>
      <c r="D469" t="s">
        <v>1522</v>
      </c>
      <c r="E469" t="s">
        <v>1527</v>
      </c>
      <c r="F469" t="s">
        <v>1528</v>
      </c>
      <c r="G469" t="s">
        <v>1544</v>
      </c>
      <c r="H469" t="s">
        <v>1550</v>
      </c>
      <c r="I469">
        <v>2024</v>
      </c>
      <c r="J469" t="s">
        <v>1554</v>
      </c>
      <c r="K469" t="s">
        <v>1556</v>
      </c>
      <c r="L469">
        <v>1282079</v>
      </c>
      <c r="M469">
        <v>1132582</v>
      </c>
      <c r="N469">
        <v>149497</v>
      </c>
      <c r="O469">
        <v>48</v>
      </c>
      <c r="P469" t="str">
        <f t="shared" si="15"/>
        <v>adult</v>
      </c>
      <c r="Q469" t="s">
        <v>1558</v>
      </c>
      <c r="R469" t="s">
        <v>1565</v>
      </c>
      <c r="S469" t="s">
        <v>1568</v>
      </c>
      <c r="T469">
        <v>1795790</v>
      </c>
      <c r="U469">
        <v>4</v>
      </c>
      <c r="V469" t="s">
        <v>1571</v>
      </c>
      <c r="W469" t="s">
        <v>1591</v>
      </c>
      <c r="X469">
        <v>11.66</v>
      </c>
    </row>
    <row r="470" spans="1:24" x14ac:dyDescent="0.25">
      <c r="A470" t="s">
        <v>490</v>
      </c>
      <c r="B470" s="4">
        <v>45872</v>
      </c>
      <c r="C470" s="4" t="str">
        <f t="shared" si="14"/>
        <v>Aug</v>
      </c>
      <c r="D470" t="s">
        <v>1522</v>
      </c>
      <c r="E470" t="s">
        <v>1524</v>
      </c>
      <c r="F470" t="s">
        <v>1528</v>
      </c>
      <c r="G470" t="s">
        <v>1543</v>
      </c>
      <c r="H470" t="s">
        <v>4</v>
      </c>
      <c r="I470">
        <v>2022</v>
      </c>
      <c r="J470" t="s">
        <v>1554</v>
      </c>
      <c r="K470" t="s">
        <v>1556</v>
      </c>
      <c r="L470">
        <v>1812164</v>
      </c>
      <c r="M470">
        <v>1462089</v>
      </c>
      <c r="N470">
        <v>350075</v>
      </c>
      <c r="O470">
        <v>42</v>
      </c>
      <c r="P470" t="str">
        <f t="shared" si="15"/>
        <v>adult</v>
      </c>
      <c r="Q470" t="s">
        <v>1559</v>
      </c>
      <c r="R470" t="s">
        <v>1562</v>
      </c>
      <c r="S470" t="s">
        <v>1568</v>
      </c>
      <c r="T470">
        <v>646984</v>
      </c>
      <c r="U470">
        <v>3</v>
      </c>
      <c r="V470" t="s">
        <v>1585</v>
      </c>
      <c r="W470" t="s">
        <v>1594</v>
      </c>
      <c r="X470">
        <v>19.32</v>
      </c>
    </row>
    <row r="471" spans="1:24" x14ac:dyDescent="0.25">
      <c r="A471" t="s">
        <v>491</v>
      </c>
      <c r="B471" s="4">
        <v>45885</v>
      </c>
      <c r="C471" s="4" t="str">
        <f t="shared" si="14"/>
        <v>Aug</v>
      </c>
      <c r="D471" t="s">
        <v>1522</v>
      </c>
      <c r="E471" t="s">
        <v>1527</v>
      </c>
      <c r="F471" t="s">
        <v>1533</v>
      </c>
      <c r="G471" t="s">
        <v>1545</v>
      </c>
      <c r="H471" t="s">
        <v>1551</v>
      </c>
      <c r="I471">
        <v>2025</v>
      </c>
      <c r="J471" t="s">
        <v>1554</v>
      </c>
      <c r="K471" t="s">
        <v>1557</v>
      </c>
      <c r="L471">
        <v>913259</v>
      </c>
      <c r="M471">
        <v>873549</v>
      </c>
      <c r="N471">
        <v>39710</v>
      </c>
      <c r="O471">
        <v>36</v>
      </c>
      <c r="P471" t="str">
        <f t="shared" si="15"/>
        <v>adult</v>
      </c>
      <c r="Q471" t="s">
        <v>1559</v>
      </c>
      <c r="R471" t="s">
        <v>1566</v>
      </c>
      <c r="S471" t="s">
        <v>1570</v>
      </c>
      <c r="T471">
        <v>100873</v>
      </c>
      <c r="U471">
        <v>3</v>
      </c>
      <c r="V471" t="s">
        <v>1585</v>
      </c>
      <c r="W471" t="s">
        <v>1594</v>
      </c>
      <c r="X471">
        <v>4.3499999999999996</v>
      </c>
    </row>
    <row r="472" spans="1:24" x14ac:dyDescent="0.25">
      <c r="A472" t="s">
        <v>492</v>
      </c>
      <c r="B472" s="4">
        <v>46144</v>
      </c>
      <c r="C472" s="4" t="str">
        <f t="shared" si="14"/>
        <v>May</v>
      </c>
      <c r="D472" t="s">
        <v>1522</v>
      </c>
      <c r="E472" t="s">
        <v>1524</v>
      </c>
      <c r="F472" t="s">
        <v>1534</v>
      </c>
      <c r="G472" t="s">
        <v>1543</v>
      </c>
      <c r="H472" t="s">
        <v>1551</v>
      </c>
      <c r="I472">
        <v>2025</v>
      </c>
      <c r="J472" t="s">
        <v>1554</v>
      </c>
      <c r="K472" t="s">
        <v>1557</v>
      </c>
      <c r="L472">
        <v>952452</v>
      </c>
      <c r="M472">
        <v>867127</v>
      </c>
      <c r="N472">
        <v>85325</v>
      </c>
      <c r="O472">
        <v>37</v>
      </c>
      <c r="P472" t="str">
        <f t="shared" si="15"/>
        <v>adult</v>
      </c>
      <c r="Q472" t="s">
        <v>1558</v>
      </c>
      <c r="R472" t="s">
        <v>1564</v>
      </c>
      <c r="S472" t="s">
        <v>1568</v>
      </c>
      <c r="T472">
        <v>199146</v>
      </c>
      <c r="U472">
        <v>2</v>
      </c>
      <c r="V472" t="s">
        <v>1590</v>
      </c>
      <c r="W472" t="s">
        <v>1592</v>
      </c>
      <c r="X472">
        <v>8.9600000000000009</v>
      </c>
    </row>
    <row r="473" spans="1:24" x14ac:dyDescent="0.25">
      <c r="A473" t="s">
        <v>493</v>
      </c>
      <c r="B473" s="4">
        <v>45753</v>
      </c>
      <c r="C473" s="4" t="str">
        <f t="shared" si="14"/>
        <v>Apr</v>
      </c>
      <c r="D473" t="s">
        <v>1522</v>
      </c>
      <c r="E473" t="s">
        <v>1526</v>
      </c>
      <c r="F473" t="s">
        <v>1532</v>
      </c>
      <c r="G473" t="s">
        <v>1544</v>
      </c>
      <c r="H473" t="s">
        <v>1550</v>
      </c>
      <c r="I473">
        <v>2025</v>
      </c>
      <c r="J473" t="s">
        <v>1554</v>
      </c>
      <c r="K473" t="s">
        <v>1557</v>
      </c>
      <c r="L473">
        <v>1679850</v>
      </c>
      <c r="M473">
        <v>1493731</v>
      </c>
      <c r="N473">
        <v>186119</v>
      </c>
      <c r="O473">
        <v>37</v>
      </c>
      <c r="P473" t="str">
        <f t="shared" si="15"/>
        <v>adult</v>
      </c>
      <c r="Q473" t="s">
        <v>1558</v>
      </c>
      <c r="R473" t="s">
        <v>1562</v>
      </c>
      <c r="S473" t="s">
        <v>1567</v>
      </c>
      <c r="T473">
        <v>2090342</v>
      </c>
      <c r="U473">
        <v>5</v>
      </c>
      <c r="V473" t="s">
        <v>1573</v>
      </c>
      <c r="W473" t="s">
        <v>1592</v>
      </c>
      <c r="X473">
        <v>11.08</v>
      </c>
    </row>
    <row r="474" spans="1:24" x14ac:dyDescent="0.25">
      <c r="A474" t="s">
        <v>494</v>
      </c>
      <c r="B474" s="4">
        <v>46023</v>
      </c>
      <c r="C474" s="4" t="str">
        <f t="shared" si="14"/>
        <v>Jan</v>
      </c>
      <c r="D474" t="s">
        <v>1522</v>
      </c>
      <c r="E474" t="s">
        <v>1526</v>
      </c>
      <c r="F474" t="s">
        <v>1529</v>
      </c>
      <c r="G474" t="s">
        <v>1548</v>
      </c>
      <c r="H474" t="s">
        <v>4</v>
      </c>
      <c r="I474">
        <v>2023</v>
      </c>
      <c r="J474" t="s">
        <v>1554</v>
      </c>
      <c r="K474" t="s">
        <v>1557</v>
      </c>
      <c r="L474">
        <v>1804422</v>
      </c>
      <c r="M474">
        <v>1718552</v>
      </c>
      <c r="N474">
        <v>85870</v>
      </c>
      <c r="O474">
        <v>39</v>
      </c>
      <c r="P474" t="str">
        <f t="shared" si="15"/>
        <v>adult</v>
      </c>
      <c r="Q474" t="s">
        <v>1558</v>
      </c>
      <c r="R474" t="s">
        <v>1562</v>
      </c>
      <c r="S474" t="s">
        <v>1568</v>
      </c>
      <c r="T474">
        <v>482256</v>
      </c>
      <c r="U474">
        <v>1</v>
      </c>
      <c r="V474" t="s">
        <v>1581</v>
      </c>
      <c r="W474" t="s">
        <v>1591</v>
      </c>
      <c r="X474">
        <v>4.76</v>
      </c>
    </row>
    <row r="475" spans="1:24" x14ac:dyDescent="0.25">
      <c r="A475" t="s">
        <v>495</v>
      </c>
      <c r="B475" s="4">
        <v>45825</v>
      </c>
      <c r="C475" s="4" t="str">
        <f t="shared" si="14"/>
        <v>Jun</v>
      </c>
      <c r="D475" t="s">
        <v>1522</v>
      </c>
      <c r="E475" t="s">
        <v>1523</v>
      </c>
      <c r="F475" t="s">
        <v>1536</v>
      </c>
      <c r="G475" t="s">
        <v>1548</v>
      </c>
      <c r="H475" t="s">
        <v>1550</v>
      </c>
      <c r="I475">
        <v>2025</v>
      </c>
      <c r="J475" t="s">
        <v>1554</v>
      </c>
      <c r="K475" t="s">
        <v>1557</v>
      </c>
      <c r="L475">
        <v>1296063</v>
      </c>
      <c r="M475">
        <v>1176089</v>
      </c>
      <c r="N475">
        <v>119974</v>
      </c>
      <c r="O475">
        <v>29</v>
      </c>
      <c r="P475" t="str">
        <f t="shared" si="15"/>
        <v>young</v>
      </c>
      <c r="Q475" t="s">
        <v>1558</v>
      </c>
      <c r="R475" t="s">
        <v>1566</v>
      </c>
      <c r="S475" t="s">
        <v>1570</v>
      </c>
      <c r="T475">
        <v>978601</v>
      </c>
      <c r="U475">
        <v>4</v>
      </c>
      <c r="V475" t="s">
        <v>1584</v>
      </c>
      <c r="W475" t="s">
        <v>1592</v>
      </c>
      <c r="X475">
        <v>9.26</v>
      </c>
    </row>
    <row r="476" spans="1:24" x14ac:dyDescent="0.25">
      <c r="A476" t="s">
        <v>496</v>
      </c>
      <c r="B476" s="4">
        <v>46072</v>
      </c>
      <c r="C476" s="4" t="str">
        <f t="shared" si="14"/>
        <v>Feb</v>
      </c>
      <c r="D476" t="s">
        <v>1522</v>
      </c>
      <c r="E476" t="s">
        <v>1527</v>
      </c>
      <c r="F476" t="s">
        <v>1535</v>
      </c>
      <c r="G476" t="s">
        <v>1545</v>
      </c>
      <c r="H476" t="s">
        <v>4</v>
      </c>
      <c r="I476">
        <v>2026</v>
      </c>
      <c r="J476" t="s">
        <v>1554</v>
      </c>
      <c r="K476" t="s">
        <v>1556</v>
      </c>
      <c r="L476">
        <v>1760500</v>
      </c>
      <c r="M476">
        <v>1506797</v>
      </c>
      <c r="N476">
        <v>253703</v>
      </c>
      <c r="O476">
        <v>44</v>
      </c>
      <c r="P476" t="str">
        <f t="shared" si="15"/>
        <v>adult</v>
      </c>
      <c r="Q476" t="s">
        <v>1558</v>
      </c>
      <c r="R476" t="s">
        <v>1566</v>
      </c>
      <c r="S476" t="s">
        <v>1569</v>
      </c>
      <c r="T476">
        <v>1988815</v>
      </c>
      <c r="U476">
        <v>4</v>
      </c>
      <c r="V476" t="s">
        <v>1589</v>
      </c>
      <c r="W476" t="s">
        <v>1591</v>
      </c>
      <c r="X476">
        <v>14.41</v>
      </c>
    </row>
    <row r="477" spans="1:24" x14ac:dyDescent="0.25">
      <c r="A477" t="s">
        <v>497</v>
      </c>
      <c r="B477" s="4">
        <v>46084</v>
      </c>
      <c r="C477" s="4" t="str">
        <f t="shared" si="14"/>
        <v>Mar</v>
      </c>
      <c r="D477" t="s">
        <v>1522</v>
      </c>
      <c r="E477" t="s">
        <v>1527</v>
      </c>
      <c r="F477" t="s">
        <v>1528</v>
      </c>
      <c r="G477" t="s">
        <v>1547</v>
      </c>
      <c r="H477" t="s">
        <v>1550</v>
      </c>
      <c r="I477">
        <v>2026</v>
      </c>
      <c r="J477" t="s">
        <v>1554</v>
      </c>
      <c r="K477" t="s">
        <v>1556</v>
      </c>
      <c r="L477">
        <v>1432947</v>
      </c>
      <c r="M477">
        <v>1269640</v>
      </c>
      <c r="N477">
        <v>163307</v>
      </c>
      <c r="O477">
        <v>65</v>
      </c>
      <c r="P477" t="str">
        <f t="shared" si="15"/>
        <v>senior</v>
      </c>
      <c r="Q477" t="s">
        <v>1559</v>
      </c>
      <c r="R477" t="s">
        <v>1563</v>
      </c>
      <c r="S477" t="s">
        <v>1568</v>
      </c>
      <c r="T477">
        <v>471354</v>
      </c>
      <c r="U477">
        <v>5</v>
      </c>
      <c r="V477" t="s">
        <v>1586</v>
      </c>
      <c r="W477" t="s">
        <v>1591</v>
      </c>
      <c r="X477">
        <v>11.4</v>
      </c>
    </row>
    <row r="478" spans="1:24" x14ac:dyDescent="0.25">
      <c r="A478" t="s">
        <v>498</v>
      </c>
      <c r="B478" s="4">
        <v>45793</v>
      </c>
      <c r="C478" s="4" t="str">
        <f t="shared" si="14"/>
        <v>May</v>
      </c>
      <c r="D478" t="s">
        <v>1522</v>
      </c>
      <c r="E478" t="s">
        <v>1526</v>
      </c>
      <c r="F478" t="s">
        <v>1537</v>
      </c>
      <c r="G478" t="s">
        <v>1543</v>
      </c>
      <c r="H478" t="s">
        <v>1550</v>
      </c>
      <c r="I478">
        <v>2026</v>
      </c>
      <c r="J478" t="s">
        <v>1554</v>
      </c>
      <c r="K478" t="s">
        <v>1557</v>
      </c>
      <c r="L478">
        <v>1651320</v>
      </c>
      <c r="M478">
        <v>1347604</v>
      </c>
      <c r="N478">
        <v>303716</v>
      </c>
      <c r="O478">
        <v>36</v>
      </c>
      <c r="P478" t="str">
        <f t="shared" si="15"/>
        <v>adult</v>
      </c>
      <c r="Q478" t="s">
        <v>1559</v>
      </c>
      <c r="R478" t="s">
        <v>1565</v>
      </c>
      <c r="S478" t="s">
        <v>1570</v>
      </c>
      <c r="T478">
        <v>1433435</v>
      </c>
      <c r="U478">
        <v>3</v>
      </c>
      <c r="V478" t="s">
        <v>1572</v>
      </c>
      <c r="W478" t="s">
        <v>1592</v>
      </c>
      <c r="X478">
        <v>18.39</v>
      </c>
    </row>
    <row r="479" spans="1:24" x14ac:dyDescent="0.25">
      <c r="A479" t="s">
        <v>499</v>
      </c>
      <c r="B479" s="4">
        <v>45738</v>
      </c>
      <c r="C479" s="4" t="str">
        <f t="shared" si="14"/>
        <v>Mar</v>
      </c>
      <c r="D479" t="s">
        <v>1522</v>
      </c>
      <c r="E479" t="s">
        <v>1523</v>
      </c>
      <c r="F479" t="s">
        <v>1531</v>
      </c>
      <c r="G479" t="s">
        <v>1545</v>
      </c>
      <c r="H479" t="s">
        <v>1550</v>
      </c>
      <c r="I479">
        <v>2026</v>
      </c>
      <c r="J479" t="s">
        <v>1554</v>
      </c>
      <c r="K479" t="s">
        <v>1556</v>
      </c>
      <c r="L479">
        <v>1166675</v>
      </c>
      <c r="M479">
        <v>1108841</v>
      </c>
      <c r="N479">
        <v>57834</v>
      </c>
      <c r="O479">
        <v>48</v>
      </c>
      <c r="P479" t="str">
        <f t="shared" si="15"/>
        <v>adult</v>
      </c>
      <c r="Q479" t="s">
        <v>1558</v>
      </c>
      <c r="R479" t="s">
        <v>1565</v>
      </c>
      <c r="S479" t="s">
        <v>1567</v>
      </c>
      <c r="T479">
        <v>214409</v>
      </c>
      <c r="U479">
        <v>2</v>
      </c>
      <c r="V479" t="s">
        <v>1588</v>
      </c>
      <c r="W479" t="s">
        <v>1591</v>
      </c>
      <c r="X479">
        <v>4.96</v>
      </c>
    </row>
    <row r="480" spans="1:24" x14ac:dyDescent="0.25">
      <c r="A480" t="s">
        <v>500</v>
      </c>
      <c r="B480" s="4">
        <v>46258</v>
      </c>
      <c r="C480" s="4" t="str">
        <f t="shared" si="14"/>
        <v>Aug</v>
      </c>
      <c r="D480" t="s">
        <v>1522</v>
      </c>
      <c r="E480" t="s">
        <v>1525</v>
      </c>
      <c r="F480" t="s">
        <v>1534</v>
      </c>
      <c r="G480" t="s">
        <v>1548</v>
      </c>
      <c r="H480" t="s">
        <v>4</v>
      </c>
      <c r="I480">
        <v>2025</v>
      </c>
      <c r="J480" t="s">
        <v>1554</v>
      </c>
      <c r="K480" t="s">
        <v>1556</v>
      </c>
      <c r="L480">
        <v>1816775</v>
      </c>
      <c r="M480">
        <v>1545338</v>
      </c>
      <c r="N480">
        <v>271437</v>
      </c>
      <c r="O480">
        <v>25</v>
      </c>
      <c r="P480" t="str">
        <f t="shared" si="15"/>
        <v>young</v>
      </c>
      <c r="Q480" t="s">
        <v>1559</v>
      </c>
      <c r="R480" t="s">
        <v>1566</v>
      </c>
      <c r="S480" t="s">
        <v>1567</v>
      </c>
      <c r="T480">
        <v>2110258</v>
      </c>
      <c r="U480">
        <v>3</v>
      </c>
      <c r="V480" t="s">
        <v>1576</v>
      </c>
      <c r="W480" t="s">
        <v>1594</v>
      </c>
      <c r="X480">
        <v>14.94</v>
      </c>
    </row>
    <row r="481" spans="1:24" x14ac:dyDescent="0.25">
      <c r="A481" t="s">
        <v>501</v>
      </c>
      <c r="B481" s="4">
        <v>45967</v>
      </c>
      <c r="C481" s="4" t="str">
        <f t="shared" si="14"/>
        <v>Nov</v>
      </c>
      <c r="D481" t="s">
        <v>1522</v>
      </c>
      <c r="E481" t="s">
        <v>1527</v>
      </c>
      <c r="F481" t="s">
        <v>1535</v>
      </c>
      <c r="G481" t="s">
        <v>1540</v>
      </c>
      <c r="H481" t="s">
        <v>1550</v>
      </c>
      <c r="I481">
        <v>2023</v>
      </c>
      <c r="J481" t="s">
        <v>1554</v>
      </c>
      <c r="K481" t="s">
        <v>1556</v>
      </c>
      <c r="L481">
        <v>1315970</v>
      </c>
      <c r="M481">
        <v>1154470</v>
      </c>
      <c r="N481">
        <v>161500</v>
      </c>
      <c r="O481">
        <v>31</v>
      </c>
      <c r="P481" t="str">
        <f t="shared" si="15"/>
        <v>adult</v>
      </c>
      <c r="Q481" t="s">
        <v>1558</v>
      </c>
      <c r="R481" t="s">
        <v>1562</v>
      </c>
      <c r="S481" t="s">
        <v>1567</v>
      </c>
      <c r="T481">
        <v>835253</v>
      </c>
      <c r="U481">
        <v>3</v>
      </c>
      <c r="V481" t="s">
        <v>1583</v>
      </c>
      <c r="W481" t="s">
        <v>1593</v>
      </c>
      <c r="X481">
        <v>12.27</v>
      </c>
    </row>
    <row r="482" spans="1:24" x14ac:dyDescent="0.25">
      <c r="A482" t="s">
        <v>502</v>
      </c>
      <c r="B482" s="4">
        <v>46112</v>
      </c>
      <c r="C482" s="4" t="str">
        <f t="shared" si="14"/>
        <v>Mar</v>
      </c>
      <c r="D482" t="s">
        <v>1522</v>
      </c>
      <c r="E482" t="s">
        <v>1526</v>
      </c>
      <c r="F482" t="s">
        <v>1528</v>
      </c>
      <c r="G482" t="s">
        <v>1549</v>
      </c>
      <c r="H482" t="s">
        <v>4</v>
      </c>
      <c r="I482">
        <v>2026</v>
      </c>
      <c r="J482" t="s">
        <v>1554</v>
      </c>
      <c r="K482" t="s">
        <v>1556</v>
      </c>
      <c r="L482">
        <v>1255337</v>
      </c>
      <c r="M482">
        <v>1141243</v>
      </c>
      <c r="N482">
        <v>114094</v>
      </c>
      <c r="O482">
        <v>27</v>
      </c>
      <c r="P482" t="str">
        <f t="shared" si="15"/>
        <v>young</v>
      </c>
      <c r="Q482" t="s">
        <v>1558</v>
      </c>
      <c r="R482" t="s">
        <v>1564</v>
      </c>
      <c r="S482" t="s">
        <v>1567</v>
      </c>
      <c r="T482">
        <v>1622608</v>
      </c>
      <c r="U482">
        <v>4</v>
      </c>
      <c r="V482" t="s">
        <v>1586</v>
      </c>
      <c r="W482" t="s">
        <v>1591</v>
      </c>
      <c r="X482">
        <v>9.09</v>
      </c>
    </row>
    <row r="483" spans="1:24" x14ac:dyDescent="0.25">
      <c r="A483" t="s">
        <v>503</v>
      </c>
      <c r="B483" s="4">
        <v>46242</v>
      </c>
      <c r="C483" s="4" t="str">
        <f t="shared" si="14"/>
        <v>Aug</v>
      </c>
      <c r="D483" t="s">
        <v>1522</v>
      </c>
      <c r="E483" t="s">
        <v>1526</v>
      </c>
      <c r="F483" t="s">
        <v>1531</v>
      </c>
      <c r="G483" t="s">
        <v>1548</v>
      </c>
      <c r="H483" t="s">
        <v>1551</v>
      </c>
      <c r="I483">
        <v>2023</v>
      </c>
      <c r="J483" t="s">
        <v>1554</v>
      </c>
      <c r="K483" t="s">
        <v>1556</v>
      </c>
      <c r="L483">
        <v>1087534</v>
      </c>
      <c r="M483">
        <v>915631</v>
      </c>
      <c r="N483">
        <v>171903</v>
      </c>
      <c r="O483">
        <v>22</v>
      </c>
      <c r="P483" t="str">
        <f t="shared" si="15"/>
        <v>young</v>
      </c>
      <c r="Q483" t="s">
        <v>1559</v>
      </c>
      <c r="R483" t="s">
        <v>1562</v>
      </c>
      <c r="S483" t="s">
        <v>1568</v>
      </c>
      <c r="T483">
        <v>1169389</v>
      </c>
      <c r="U483">
        <v>1</v>
      </c>
      <c r="V483" t="s">
        <v>1576</v>
      </c>
      <c r="W483" t="s">
        <v>1594</v>
      </c>
      <c r="X483">
        <v>15.81</v>
      </c>
    </row>
    <row r="484" spans="1:24" x14ac:dyDescent="0.25">
      <c r="A484" t="s">
        <v>504</v>
      </c>
      <c r="B484" s="4">
        <v>45684</v>
      </c>
      <c r="C484" s="4" t="str">
        <f t="shared" si="14"/>
        <v>Jan</v>
      </c>
      <c r="D484" t="s">
        <v>1522</v>
      </c>
      <c r="E484" t="s">
        <v>1527</v>
      </c>
      <c r="F484" t="s">
        <v>1533</v>
      </c>
      <c r="G484" t="s">
        <v>1543</v>
      </c>
      <c r="H484" t="s">
        <v>4</v>
      </c>
      <c r="I484">
        <v>2024</v>
      </c>
      <c r="J484" t="s">
        <v>1554</v>
      </c>
      <c r="K484" t="s">
        <v>1557</v>
      </c>
      <c r="L484">
        <v>1202617</v>
      </c>
      <c r="M484">
        <v>1105763</v>
      </c>
      <c r="N484">
        <v>96854</v>
      </c>
      <c r="O484">
        <v>40</v>
      </c>
      <c r="P484" t="str">
        <f t="shared" si="15"/>
        <v>adult</v>
      </c>
      <c r="Q484" t="s">
        <v>1558</v>
      </c>
      <c r="R484" t="s">
        <v>1561</v>
      </c>
      <c r="S484" t="s">
        <v>1570</v>
      </c>
      <c r="T484">
        <v>1994085</v>
      </c>
      <c r="U484">
        <v>4</v>
      </c>
      <c r="V484" t="s">
        <v>1571</v>
      </c>
      <c r="W484" t="s">
        <v>1591</v>
      </c>
      <c r="X484">
        <v>8.0500000000000007</v>
      </c>
    </row>
    <row r="485" spans="1:24" x14ac:dyDescent="0.25">
      <c r="A485" t="s">
        <v>505</v>
      </c>
      <c r="B485" s="4">
        <v>46144</v>
      </c>
      <c r="C485" s="4" t="str">
        <f t="shared" si="14"/>
        <v>May</v>
      </c>
      <c r="D485" t="s">
        <v>1522</v>
      </c>
      <c r="E485" t="s">
        <v>1527</v>
      </c>
      <c r="F485" t="s">
        <v>1535</v>
      </c>
      <c r="G485" t="s">
        <v>1544</v>
      </c>
      <c r="H485" t="s">
        <v>1551</v>
      </c>
      <c r="I485">
        <v>2026</v>
      </c>
      <c r="J485" t="s">
        <v>1554</v>
      </c>
      <c r="K485" t="s">
        <v>1556</v>
      </c>
      <c r="L485">
        <v>976096</v>
      </c>
      <c r="M485">
        <v>877849</v>
      </c>
      <c r="N485">
        <v>98247</v>
      </c>
      <c r="O485">
        <v>58</v>
      </c>
      <c r="P485" t="str">
        <f t="shared" si="15"/>
        <v>senior</v>
      </c>
      <c r="Q485" t="s">
        <v>1558</v>
      </c>
      <c r="R485" t="s">
        <v>1563</v>
      </c>
      <c r="S485" t="s">
        <v>1568</v>
      </c>
      <c r="T485">
        <v>1848924</v>
      </c>
      <c r="U485">
        <v>3</v>
      </c>
      <c r="V485" t="s">
        <v>1590</v>
      </c>
      <c r="W485" t="s">
        <v>1592</v>
      </c>
      <c r="X485">
        <v>10.07</v>
      </c>
    </row>
    <row r="486" spans="1:24" x14ac:dyDescent="0.25">
      <c r="A486" t="s">
        <v>506</v>
      </c>
      <c r="B486" s="4">
        <v>45766</v>
      </c>
      <c r="C486" s="4" t="str">
        <f t="shared" si="14"/>
        <v>Apr</v>
      </c>
      <c r="D486" t="s">
        <v>1522</v>
      </c>
      <c r="E486" t="s">
        <v>1524</v>
      </c>
      <c r="F486" t="s">
        <v>1530</v>
      </c>
      <c r="G486" t="s">
        <v>1547</v>
      </c>
      <c r="H486" t="s">
        <v>4</v>
      </c>
      <c r="I486">
        <v>2026</v>
      </c>
      <c r="J486" t="s">
        <v>1554</v>
      </c>
      <c r="K486" t="s">
        <v>1556</v>
      </c>
      <c r="L486">
        <v>1647637</v>
      </c>
      <c r="M486">
        <v>1429706</v>
      </c>
      <c r="N486">
        <v>217931</v>
      </c>
      <c r="O486">
        <v>49</v>
      </c>
      <c r="P486" t="str">
        <f t="shared" si="15"/>
        <v>adult</v>
      </c>
      <c r="Q486" t="s">
        <v>1559</v>
      </c>
      <c r="R486" t="s">
        <v>1565</v>
      </c>
      <c r="S486" t="s">
        <v>1569</v>
      </c>
      <c r="T486">
        <v>1551473</v>
      </c>
      <c r="U486">
        <v>4</v>
      </c>
      <c r="V486" t="s">
        <v>1573</v>
      </c>
      <c r="W486" t="s">
        <v>1592</v>
      </c>
      <c r="X486">
        <v>13.23</v>
      </c>
    </row>
    <row r="487" spans="1:24" x14ac:dyDescent="0.25">
      <c r="A487" t="s">
        <v>507</v>
      </c>
      <c r="B487" s="4">
        <v>45806</v>
      </c>
      <c r="C487" s="4" t="str">
        <f t="shared" si="14"/>
        <v>May</v>
      </c>
      <c r="D487" t="s">
        <v>1522</v>
      </c>
      <c r="E487" t="s">
        <v>1527</v>
      </c>
      <c r="F487" t="s">
        <v>1534</v>
      </c>
      <c r="G487" t="s">
        <v>1549</v>
      </c>
      <c r="H487" t="s">
        <v>1552</v>
      </c>
      <c r="I487">
        <v>2024</v>
      </c>
      <c r="J487" t="s">
        <v>1555</v>
      </c>
      <c r="K487" t="s">
        <v>1556</v>
      </c>
      <c r="L487">
        <v>1880931</v>
      </c>
      <c r="M487">
        <v>1694661</v>
      </c>
      <c r="N487">
        <v>186270</v>
      </c>
      <c r="O487">
        <v>36</v>
      </c>
      <c r="P487" t="str">
        <f t="shared" si="15"/>
        <v>adult</v>
      </c>
      <c r="Q487" t="s">
        <v>1558</v>
      </c>
      <c r="R487" t="s">
        <v>1563</v>
      </c>
      <c r="S487" t="s">
        <v>1570</v>
      </c>
      <c r="T487">
        <v>1412707</v>
      </c>
      <c r="U487">
        <v>4</v>
      </c>
      <c r="V487" t="s">
        <v>1572</v>
      </c>
      <c r="W487" t="s">
        <v>1592</v>
      </c>
      <c r="X487">
        <v>9.9</v>
      </c>
    </row>
    <row r="488" spans="1:24" x14ac:dyDescent="0.25">
      <c r="A488" t="s">
        <v>508</v>
      </c>
      <c r="B488" s="4">
        <v>45723</v>
      </c>
      <c r="C488" s="4" t="str">
        <f t="shared" si="14"/>
        <v>Mar</v>
      </c>
      <c r="D488" t="s">
        <v>1522</v>
      </c>
      <c r="E488" t="s">
        <v>1527</v>
      </c>
      <c r="F488" t="s">
        <v>1533</v>
      </c>
      <c r="G488" t="s">
        <v>1540</v>
      </c>
      <c r="H488" t="s">
        <v>4</v>
      </c>
      <c r="I488">
        <v>2026</v>
      </c>
      <c r="J488" t="s">
        <v>1554</v>
      </c>
      <c r="K488" t="s">
        <v>1557</v>
      </c>
      <c r="L488">
        <v>1394669</v>
      </c>
      <c r="M488">
        <v>1178841</v>
      </c>
      <c r="N488">
        <v>215828</v>
      </c>
      <c r="O488">
        <v>27</v>
      </c>
      <c r="P488" t="str">
        <f t="shared" si="15"/>
        <v>young</v>
      </c>
      <c r="Q488" t="s">
        <v>1559</v>
      </c>
      <c r="R488" t="s">
        <v>1564</v>
      </c>
      <c r="S488" t="s">
        <v>1568</v>
      </c>
      <c r="T488">
        <v>1138754</v>
      </c>
      <c r="U488">
        <v>3</v>
      </c>
      <c r="V488" t="s">
        <v>1588</v>
      </c>
      <c r="W488" t="s">
        <v>1591</v>
      </c>
      <c r="X488">
        <v>15.48</v>
      </c>
    </row>
    <row r="489" spans="1:24" x14ac:dyDescent="0.25">
      <c r="A489" t="s">
        <v>509</v>
      </c>
      <c r="B489" s="4">
        <v>46243</v>
      </c>
      <c r="C489" s="4" t="str">
        <f t="shared" si="14"/>
        <v>Aug</v>
      </c>
      <c r="D489" t="s">
        <v>1522</v>
      </c>
      <c r="E489" t="s">
        <v>1527</v>
      </c>
      <c r="F489" t="s">
        <v>1533</v>
      </c>
      <c r="G489" t="s">
        <v>1542</v>
      </c>
      <c r="H489" t="s">
        <v>1551</v>
      </c>
      <c r="I489">
        <v>2023</v>
      </c>
      <c r="J489" t="s">
        <v>1554</v>
      </c>
      <c r="K489" t="s">
        <v>1556</v>
      </c>
      <c r="L489">
        <v>807596</v>
      </c>
      <c r="M489">
        <v>774198</v>
      </c>
      <c r="N489">
        <v>33398</v>
      </c>
      <c r="O489">
        <v>41</v>
      </c>
      <c r="P489" t="str">
        <f t="shared" si="15"/>
        <v>adult</v>
      </c>
      <c r="Q489" t="s">
        <v>1558</v>
      </c>
      <c r="R489" t="s">
        <v>1561</v>
      </c>
      <c r="S489" t="s">
        <v>1570</v>
      </c>
      <c r="T489">
        <v>606177</v>
      </c>
      <c r="U489">
        <v>4</v>
      </c>
      <c r="V489" t="s">
        <v>1576</v>
      </c>
      <c r="W489" t="s">
        <v>1594</v>
      </c>
      <c r="X489">
        <v>4.1399999999999997</v>
      </c>
    </row>
    <row r="490" spans="1:24" x14ac:dyDescent="0.25">
      <c r="A490" t="s">
        <v>510</v>
      </c>
      <c r="B490" s="4">
        <v>45917</v>
      </c>
      <c r="C490" s="4" t="str">
        <f t="shared" si="14"/>
        <v>Sep</v>
      </c>
      <c r="D490" t="s">
        <v>1522</v>
      </c>
      <c r="E490" t="s">
        <v>1527</v>
      </c>
      <c r="F490" t="s">
        <v>1537</v>
      </c>
      <c r="G490" t="s">
        <v>1539</v>
      </c>
      <c r="H490" t="s">
        <v>1550</v>
      </c>
      <c r="I490">
        <v>2023</v>
      </c>
      <c r="J490" t="s">
        <v>1554</v>
      </c>
      <c r="K490" t="s">
        <v>1557</v>
      </c>
      <c r="L490">
        <v>1468463</v>
      </c>
      <c r="M490">
        <v>1330916</v>
      </c>
      <c r="N490">
        <v>137547</v>
      </c>
      <c r="O490">
        <v>51</v>
      </c>
      <c r="P490" t="str">
        <f t="shared" si="15"/>
        <v>senior</v>
      </c>
      <c r="Q490" t="s">
        <v>1558</v>
      </c>
      <c r="R490" t="s">
        <v>1566</v>
      </c>
      <c r="S490" t="s">
        <v>1568</v>
      </c>
      <c r="T490">
        <v>1157194</v>
      </c>
      <c r="U490">
        <v>1</v>
      </c>
      <c r="V490" t="s">
        <v>1577</v>
      </c>
      <c r="W490" t="s">
        <v>1594</v>
      </c>
      <c r="X490">
        <v>9.3699999999999992</v>
      </c>
    </row>
    <row r="491" spans="1:24" x14ac:dyDescent="0.25">
      <c r="A491" t="s">
        <v>511</v>
      </c>
      <c r="B491" s="4">
        <v>45856</v>
      </c>
      <c r="C491" s="4" t="str">
        <f t="shared" si="14"/>
        <v>Jul</v>
      </c>
      <c r="D491" t="s">
        <v>1522</v>
      </c>
      <c r="E491" t="s">
        <v>1526</v>
      </c>
      <c r="F491" t="s">
        <v>1529</v>
      </c>
      <c r="G491" t="s">
        <v>1538</v>
      </c>
      <c r="H491" t="s">
        <v>4</v>
      </c>
      <c r="I491">
        <v>2022</v>
      </c>
      <c r="J491" t="s">
        <v>1554</v>
      </c>
      <c r="K491" t="s">
        <v>1557</v>
      </c>
      <c r="L491">
        <v>1598326</v>
      </c>
      <c r="M491">
        <v>1398964</v>
      </c>
      <c r="N491">
        <v>199362</v>
      </c>
      <c r="O491">
        <v>37</v>
      </c>
      <c r="P491" t="str">
        <f t="shared" si="15"/>
        <v>adult</v>
      </c>
      <c r="Q491" t="s">
        <v>1558</v>
      </c>
      <c r="R491" t="s">
        <v>1565</v>
      </c>
      <c r="S491" t="s">
        <v>1569</v>
      </c>
      <c r="T491">
        <v>2126792</v>
      </c>
      <c r="U491">
        <v>4</v>
      </c>
      <c r="V491" t="s">
        <v>1579</v>
      </c>
      <c r="W491" t="s">
        <v>1594</v>
      </c>
      <c r="X491">
        <v>12.47</v>
      </c>
    </row>
    <row r="492" spans="1:24" x14ac:dyDescent="0.25">
      <c r="A492" t="s">
        <v>512</v>
      </c>
      <c r="B492" s="4">
        <v>45959</v>
      </c>
      <c r="C492" s="4" t="str">
        <f t="shared" si="14"/>
        <v>Oct</v>
      </c>
      <c r="D492" t="s">
        <v>1522</v>
      </c>
      <c r="E492" t="s">
        <v>1524</v>
      </c>
      <c r="F492" t="s">
        <v>1532</v>
      </c>
      <c r="G492" t="s">
        <v>1542</v>
      </c>
      <c r="H492" t="s">
        <v>1551</v>
      </c>
      <c r="I492">
        <v>2025</v>
      </c>
      <c r="J492" t="s">
        <v>1554</v>
      </c>
      <c r="K492" t="s">
        <v>1556</v>
      </c>
      <c r="L492">
        <v>777951</v>
      </c>
      <c r="M492">
        <v>687232</v>
      </c>
      <c r="N492">
        <v>90719</v>
      </c>
      <c r="O492">
        <v>56</v>
      </c>
      <c r="P492" t="str">
        <f t="shared" si="15"/>
        <v>senior</v>
      </c>
      <c r="Q492" t="s">
        <v>1558</v>
      </c>
      <c r="R492" t="s">
        <v>1566</v>
      </c>
      <c r="S492" t="s">
        <v>1567</v>
      </c>
      <c r="T492">
        <v>1541780</v>
      </c>
      <c r="U492">
        <v>3</v>
      </c>
      <c r="V492" t="s">
        <v>1574</v>
      </c>
      <c r="W492" t="s">
        <v>1593</v>
      </c>
      <c r="X492">
        <v>11.66</v>
      </c>
    </row>
    <row r="493" spans="1:24" x14ac:dyDescent="0.25">
      <c r="A493" t="s">
        <v>513</v>
      </c>
      <c r="B493" s="4">
        <v>45686</v>
      </c>
      <c r="C493" s="4" t="str">
        <f t="shared" si="14"/>
        <v>Jan</v>
      </c>
      <c r="D493" t="s">
        <v>1522</v>
      </c>
      <c r="E493" t="s">
        <v>1526</v>
      </c>
      <c r="F493" t="s">
        <v>1536</v>
      </c>
      <c r="G493" t="s">
        <v>1544</v>
      </c>
      <c r="H493" t="s">
        <v>1551</v>
      </c>
      <c r="I493">
        <v>2022</v>
      </c>
      <c r="J493" t="s">
        <v>1554</v>
      </c>
      <c r="K493" t="s">
        <v>1557</v>
      </c>
      <c r="L493">
        <v>874318</v>
      </c>
      <c r="M493">
        <v>760138</v>
      </c>
      <c r="N493">
        <v>114180</v>
      </c>
      <c r="O493">
        <v>22</v>
      </c>
      <c r="P493" t="str">
        <f t="shared" si="15"/>
        <v>young</v>
      </c>
      <c r="Q493" t="s">
        <v>1559</v>
      </c>
      <c r="R493" t="s">
        <v>1566</v>
      </c>
      <c r="S493" t="s">
        <v>1569</v>
      </c>
      <c r="T493">
        <v>1026778</v>
      </c>
      <c r="U493">
        <v>2</v>
      </c>
      <c r="V493" t="s">
        <v>1571</v>
      </c>
      <c r="W493" t="s">
        <v>1591</v>
      </c>
      <c r="X493">
        <v>13.06</v>
      </c>
    </row>
    <row r="494" spans="1:24" x14ac:dyDescent="0.25">
      <c r="A494" t="s">
        <v>514</v>
      </c>
      <c r="B494" s="4">
        <v>45778</v>
      </c>
      <c r="C494" s="4" t="str">
        <f t="shared" si="14"/>
        <v>May</v>
      </c>
      <c r="D494" t="s">
        <v>1522</v>
      </c>
      <c r="E494" t="s">
        <v>1526</v>
      </c>
      <c r="F494" t="s">
        <v>1533</v>
      </c>
      <c r="G494" t="s">
        <v>1548</v>
      </c>
      <c r="H494" t="s">
        <v>1550</v>
      </c>
      <c r="I494">
        <v>2025</v>
      </c>
      <c r="J494" t="s">
        <v>1554</v>
      </c>
      <c r="K494" t="s">
        <v>1556</v>
      </c>
      <c r="L494">
        <v>1362077</v>
      </c>
      <c r="M494">
        <v>1235584</v>
      </c>
      <c r="N494">
        <v>126493</v>
      </c>
      <c r="O494">
        <v>31</v>
      </c>
      <c r="P494" t="str">
        <f t="shared" si="15"/>
        <v>adult</v>
      </c>
      <c r="Q494" t="s">
        <v>1559</v>
      </c>
      <c r="R494" t="s">
        <v>1563</v>
      </c>
      <c r="S494" t="s">
        <v>1567</v>
      </c>
      <c r="T494">
        <v>1095199</v>
      </c>
      <c r="U494">
        <v>1</v>
      </c>
      <c r="V494" t="s">
        <v>1572</v>
      </c>
      <c r="W494" t="s">
        <v>1592</v>
      </c>
      <c r="X494">
        <v>9.2899999999999991</v>
      </c>
    </row>
    <row r="495" spans="1:24" x14ac:dyDescent="0.25">
      <c r="A495" t="s">
        <v>515</v>
      </c>
      <c r="B495" s="4">
        <v>45789</v>
      </c>
      <c r="C495" s="4" t="str">
        <f t="shared" si="14"/>
        <v>May</v>
      </c>
      <c r="D495" t="s">
        <v>1522</v>
      </c>
      <c r="E495" t="s">
        <v>1524</v>
      </c>
      <c r="F495" t="s">
        <v>1535</v>
      </c>
      <c r="G495" t="s">
        <v>1547</v>
      </c>
      <c r="H495" t="s">
        <v>1550</v>
      </c>
      <c r="I495">
        <v>2024</v>
      </c>
      <c r="J495" t="s">
        <v>1554</v>
      </c>
      <c r="K495" t="s">
        <v>1557</v>
      </c>
      <c r="L495">
        <v>1615833</v>
      </c>
      <c r="M495">
        <v>1374765</v>
      </c>
      <c r="N495">
        <v>241068</v>
      </c>
      <c r="O495">
        <v>36</v>
      </c>
      <c r="P495" t="str">
        <f t="shared" si="15"/>
        <v>adult</v>
      </c>
      <c r="Q495" t="s">
        <v>1559</v>
      </c>
      <c r="R495" t="s">
        <v>1561</v>
      </c>
      <c r="S495" t="s">
        <v>1567</v>
      </c>
      <c r="T495">
        <v>1822265</v>
      </c>
      <c r="U495">
        <v>3</v>
      </c>
      <c r="V495" t="s">
        <v>1572</v>
      </c>
      <c r="W495" t="s">
        <v>1592</v>
      </c>
      <c r="X495">
        <v>14.92</v>
      </c>
    </row>
    <row r="496" spans="1:24" x14ac:dyDescent="0.25">
      <c r="A496" t="s">
        <v>516</v>
      </c>
      <c r="B496" s="4">
        <v>46167</v>
      </c>
      <c r="C496" s="4" t="str">
        <f t="shared" si="14"/>
        <v>May</v>
      </c>
      <c r="D496" t="s">
        <v>1522</v>
      </c>
      <c r="E496" t="s">
        <v>1526</v>
      </c>
      <c r="F496" t="s">
        <v>1530</v>
      </c>
      <c r="G496" t="s">
        <v>1546</v>
      </c>
      <c r="H496" t="s">
        <v>1550</v>
      </c>
      <c r="I496">
        <v>2024</v>
      </c>
      <c r="J496" t="s">
        <v>1554</v>
      </c>
      <c r="K496" t="s">
        <v>1556</v>
      </c>
      <c r="L496">
        <v>1710453</v>
      </c>
      <c r="M496">
        <v>1490733</v>
      </c>
      <c r="N496">
        <v>219720</v>
      </c>
      <c r="O496">
        <v>45</v>
      </c>
      <c r="P496" t="str">
        <f t="shared" si="15"/>
        <v>adult</v>
      </c>
      <c r="Q496" t="s">
        <v>1558</v>
      </c>
      <c r="R496" t="s">
        <v>1566</v>
      </c>
      <c r="S496" t="s">
        <v>1570</v>
      </c>
      <c r="T496">
        <v>2187047</v>
      </c>
      <c r="U496">
        <v>4</v>
      </c>
      <c r="V496" t="s">
        <v>1590</v>
      </c>
      <c r="W496" t="s">
        <v>1592</v>
      </c>
      <c r="X496">
        <v>12.85</v>
      </c>
    </row>
    <row r="497" spans="1:24" x14ac:dyDescent="0.25">
      <c r="A497" t="s">
        <v>517</v>
      </c>
      <c r="B497" s="4">
        <v>45808</v>
      </c>
      <c r="C497" s="4" t="str">
        <f t="shared" si="14"/>
        <v>May</v>
      </c>
      <c r="D497" t="s">
        <v>1522</v>
      </c>
      <c r="E497" t="s">
        <v>1526</v>
      </c>
      <c r="F497" t="s">
        <v>1535</v>
      </c>
      <c r="G497" t="s">
        <v>1546</v>
      </c>
      <c r="H497" t="s">
        <v>1550</v>
      </c>
      <c r="I497">
        <v>2025</v>
      </c>
      <c r="J497" t="s">
        <v>1554</v>
      </c>
      <c r="K497" t="s">
        <v>1557</v>
      </c>
      <c r="L497">
        <v>1666798</v>
      </c>
      <c r="M497">
        <v>1450247</v>
      </c>
      <c r="N497">
        <v>216551</v>
      </c>
      <c r="O497">
        <v>49</v>
      </c>
      <c r="P497" t="str">
        <f t="shared" si="15"/>
        <v>adult</v>
      </c>
      <c r="Q497" t="s">
        <v>1559</v>
      </c>
      <c r="R497" t="s">
        <v>1562</v>
      </c>
      <c r="S497" t="s">
        <v>1570</v>
      </c>
      <c r="T497">
        <v>1919099</v>
      </c>
      <c r="U497">
        <v>5</v>
      </c>
      <c r="V497" t="s">
        <v>1572</v>
      </c>
      <c r="W497" t="s">
        <v>1592</v>
      </c>
      <c r="X497">
        <v>12.99</v>
      </c>
    </row>
    <row r="498" spans="1:24" x14ac:dyDescent="0.25">
      <c r="A498" t="s">
        <v>518</v>
      </c>
      <c r="B498" s="4">
        <v>46181</v>
      </c>
      <c r="C498" s="4" t="str">
        <f t="shared" si="14"/>
        <v>Jun</v>
      </c>
      <c r="D498" t="s">
        <v>1522</v>
      </c>
      <c r="E498" t="s">
        <v>1526</v>
      </c>
      <c r="F498" t="s">
        <v>1528</v>
      </c>
      <c r="G498" t="s">
        <v>1538</v>
      </c>
      <c r="H498" t="s">
        <v>1551</v>
      </c>
      <c r="I498">
        <v>2025</v>
      </c>
      <c r="J498" t="s">
        <v>1554</v>
      </c>
      <c r="K498" t="s">
        <v>1556</v>
      </c>
      <c r="L498">
        <v>823569</v>
      </c>
      <c r="M498">
        <v>729179</v>
      </c>
      <c r="N498">
        <v>94390</v>
      </c>
      <c r="O498">
        <v>39</v>
      </c>
      <c r="P498" t="str">
        <f t="shared" si="15"/>
        <v>adult</v>
      </c>
      <c r="Q498" t="s">
        <v>1558</v>
      </c>
      <c r="R498" t="s">
        <v>1564</v>
      </c>
      <c r="S498" t="s">
        <v>1569</v>
      </c>
      <c r="T498">
        <v>1260997</v>
      </c>
      <c r="U498">
        <v>3</v>
      </c>
      <c r="V498" t="s">
        <v>1582</v>
      </c>
      <c r="W498" t="s">
        <v>1592</v>
      </c>
      <c r="X498">
        <v>11.46</v>
      </c>
    </row>
    <row r="499" spans="1:24" x14ac:dyDescent="0.25">
      <c r="A499" t="s">
        <v>519</v>
      </c>
      <c r="B499" s="4">
        <v>45870</v>
      </c>
      <c r="C499" s="4" t="str">
        <f t="shared" si="14"/>
        <v>Aug</v>
      </c>
      <c r="D499" t="s">
        <v>1522</v>
      </c>
      <c r="E499" t="s">
        <v>1525</v>
      </c>
      <c r="F499" t="s">
        <v>1537</v>
      </c>
      <c r="G499" t="s">
        <v>1543</v>
      </c>
      <c r="H499" t="s">
        <v>4</v>
      </c>
      <c r="I499">
        <v>2024</v>
      </c>
      <c r="J499" t="s">
        <v>1554</v>
      </c>
      <c r="K499" t="s">
        <v>1556</v>
      </c>
      <c r="L499">
        <v>1708761</v>
      </c>
      <c r="M499">
        <v>1432893</v>
      </c>
      <c r="N499">
        <v>275868</v>
      </c>
      <c r="O499">
        <v>62</v>
      </c>
      <c r="P499" t="str">
        <f t="shared" si="15"/>
        <v>senior</v>
      </c>
      <c r="Q499" t="s">
        <v>1558</v>
      </c>
      <c r="R499" t="s">
        <v>1562</v>
      </c>
      <c r="S499" t="s">
        <v>1567</v>
      </c>
      <c r="T499">
        <v>16866</v>
      </c>
      <c r="U499">
        <v>3</v>
      </c>
      <c r="V499" t="s">
        <v>1585</v>
      </c>
      <c r="W499" t="s">
        <v>1594</v>
      </c>
      <c r="X499">
        <v>16.14</v>
      </c>
    </row>
    <row r="500" spans="1:24" x14ac:dyDescent="0.25">
      <c r="A500" t="s">
        <v>520</v>
      </c>
      <c r="B500" s="4">
        <v>46175</v>
      </c>
      <c r="C500" s="4" t="str">
        <f t="shared" si="14"/>
        <v>Jun</v>
      </c>
      <c r="D500" t="s">
        <v>1522</v>
      </c>
      <c r="E500" t="s">
        <v>1526</v>
      </c>
      <c r="F500" t="s">
        <v>1532</v>
      </c>
      <c r="G500" t="s">
        <v>1545</v>
      </c>
      <c r="H500" t="s">
        <v>4</v>
      </c>
      <c r="I500">
        <v>2023</v>
      </c>
      <c r="J500" t="s">
        <v>1554</v>
      </c>
      <c r="K500" t="s">
        <v>1556</v>
      </c>
      <c r="L500">
        <v>1410793</v>
      </c>
      <c r="M500">
        <v>1226364</v>
      </c>
      <c r="N500">
        <v>184429</v>
      </c>
      <c r="O500">
        <v>44</v>
      </c>
      <c r="P500" t="str">
        <f t="shared" si="15"/>
        <v>adult</v>
      </c>
      <c r="Q500" t="s">
        <v>1559</v>
      </c>
      <c r="R500" t="s">
        <v>1566</v>
      </c>
      <c r="S500" t="s">
        <v>1569</v>
      </c>
      <c r="T500">
        <v>1273823</v>
      </c>
      <c r="U500">
        <v>5</v>
      </c>
      <c r="V500" t="s">
        <v>1582</v>
      </c>
      <c r="W500" t="s">
        <v>1592</v>
      </c>
      <c r="X500">
        <v>13.07</v>
      </c>
    </row>
    <row r="501" spans="1:24" x14ac:dyDescent="0.25">
      <c r="A501" t="s">
        <v>521</v>
      </c>
      <c r="B501" s="4">
        <v>45911</v>
      </c>
      <c r="C501" s="4" t="str">
        <f t="shared" si="14"/>
        <v>Sep</v>
      </c>
      <c r="D501" t="s">
        <v>1522</v>
      </c>
      <c r="E501" t="s">
        <v>1525</v>
      </c>
      <c r="F501" t="s">
        <v>1532</v>
      </c>
      <c r="G501" t="s">
        <v>1545</v>
      </c>
      <c r="H501" t="s">
        <v>4</v>
      </c>
      <c r="I501">
        <v>2026</v>
      </c>
      <c r="J501" t="s">
        <v>1554</v>
      </c>
      <c r="K501" t="s">
        <v>1556</v>
      </c>
      <c r="L501">
        <v>1770793</v>
      </c>
      <c r="M501">
        <v>1478868</v>
      </c>
      <c r="N501">
        <v>291925</v>
      </c>
      <c r="O501">
        <v>36</v>
      </c>
      <c r="P501" t="str">
        <f t="shared" si="15"/>
        <v>adult</v>
      </c>
      <c r="Q501" t="s">
        <v>1558</v>
      </c>
      <c r="R501" t="s">
        <v>1563</v>
      </c>
      <c r="S501" t="s">
        <v>1567</v>
      </c>
      <c r="T501">
        <v>391017</v>
      </c>
      <c r="U501">
        <v>2</v>
      </c>
      <c r="V501" t="s">
        <v>1577</v>
      </c>
      <c r="W501" t="s">
        <v>1594</v>
      </c>
      <c r="X501">
        <v>16.489999999999998</v>
      </c>
    </row>
    <row r="502" spans="1:24" x14ac:dyDescent="0.25">
      <c r="A502" t="s">
        <v>522</v>
      </c>
      <c r="B502" s="4">
        <v>46084</v>
      </c>
      <c r="C502" s="4" t="str">
        <f t="shared" si="14"/>
        <v>Mar</v>
      </c>
      <c r="D502" t="s">
        <v>1522</v>
      </c>
      <c r="E502" t="s">
        <v>1527</v>
      </c>
      <c r="F502" t="s">
        <v>1528</v>
      </c>
      <c r="G502" t="s">
        <v>1539</v>
      </c>
      <c r="H502" t="s">
        <v>1550</v>
      </c>
      <c r="I502">
        <v>2025</v>
      </c>
      <c r="J502" t="s">
        <v>1554</v>
      </c>
      <c r="K502" t="s">
        <v>1556</v>
      </c>
      <c r="L502">
        <v>1418280</v>
      </c>
      <c r="M502">
        <v>1309523</v>
      </c>
      <c r="N502">
        <v>108757</v>
      </c>
      <c r="O502">
        <v>40</v>
      </c>
      <c r="P502" t="str">
        <f t="shared" si="15"/>
        <v>adult</v>
      </c>
      <c r="Q502" t="s">
        <v>1558</v>
      </c>
      <c r="R502" t="s">
        <v>1563</v>
      </c>
      <c r="S502" t="s">
        <v>1568</v>
      </c>
      <c r="T502">
        <v>2189740</v>
      </c>
      <c r="U502">
        <v>5</v>
      </c>
      <c r="V502" t="s">
        <v>1586</v>
      </c>
      <c r="W502" t="s">
        <v>1591</v>
      </c>
      <c r="X502">
        <v>7.67</v>
      </c>
    </row>
    <row r="503" spans="1:24" x14ac:dyDescent="0.25">
      <c r="A503" t="s">
        <v>523</v>
      </c>
      <c r="B503" s="4">
        <v>46140</v>
      </c>
      <c r="C503" s="4" t="str">
        <f t="shared" si="14"/>
        <v>Apr</v>
      </c>
      <c r="D503" t="s">
        <v>1522</v>
      </c>
      <c r="E503" t="s">
        <v>1525</v>
      </c>
      <c r="F503" t="s">
        <v>1530</v>
      </c>
      <c r="G503" t="s">
        <v>1547</v>
      </c>
      <c r="H503" t="s">
        <v>4</v>
      </c>
      <c r="I503">
        <v>2026</v>
      </c>
      <c r="J503" t="s">
        <v>1554</v>
      </c>
      <c r="K503" t="s">
        <v>1556</v>
      </c>
      <c r="L503">
        <v>1510399</v>
      </c>
      <c r="M503">
        <v>1311491</v>
      </c>
      <c r="N503">
        <v>198908</v>
      </c>
      <c r="O503">
        <v>61</v>
      </c>
      <c r="P503" t="str">
        <f t="shared" si="15"/>
        <v>senior</v>
      </c>
      <c r="Q503" t="s">
        <v>1558</v>
      </c>
      <c r="R503" t="s">
        <v>1563</v>
      </c>
      <c r="S503" t="s">
        <v>1570</v>
      </c>
      <c r="T503">
        <v>1250352</v>
      </c>
      <c r="U503">
        <v>2</v>
      </c>
      <c r="V503" t="s">
        <v>1580</v>
      </c>
      <c r="W503" t="s">
        <v>1592</v>
      </c>
      <c r="X503">
        <v>13.17</v>
      </c>
    </row>
    <row r="504" spans="1:24" x14ac:dyDescent="0.25">
      <c r="A504" t="s">
        <v>524</v>
      </c>
      <c r="B504" s="4">
        <v>46133</v>
      </c>
      <c r="C504" s="4" t="str">
        <f t="shared" si="14"/>
        <v>Apr</v>
      </c>
      <c r="D504" t="s">
        <v>1522</v>
      </c>
      <c r="E504" t="s">
        <v>1526</v>
      </c>
      <c r="F504" t="s">
        <v>1537</v>
      </c>
      <c r="G504" t="s">
        <v>1541</v>
      </c>
      <c r="H504" t="s">
        <v>1550</v>
      </c>
      <c r="I504">
        <v>2023</v>
      </c>
      <c r="J504" t="s">
        <v>1554</v>
      </c>
      <c r="K504" t="s">
        <v>1557</v>
      </c>
      <c r="L504">
        <v>1324145</v>
      </c>
      <c r="M504">
        <v>1153485</v>
      </c>
      <c r="N504">
        <v>170660</v>
      </c>
      <c r="O504">
        <v>29</v>
      </c>
      <c r="P504" t="str">
        <f t="shared" si="15"/>
        <v>young</v>
      </c>
      <c r="Q504" t="s">
        <v>1558</v>
      </c>
      <c r="R504" t="s">
        <v>1565</v>
      </c>
      <c r="S504" t="s">
        <v>1567</v>
      </c>
      <c r="T504">
        <v>165680</v>
      </c>
      <c r="U504">
        <v>4</v>
      </c>
      <c r="V504" t="s">
        <v>1580</v>
      </c>
      <c r="W504" t="s">
        <v>1592</v>
      </c>
      <c r="X504">
        <v>12.89</v>
      </c>
    </row>
    <row r="505" spans="1:24" x14ac:dyDescent="0.25">
      <c r="A505" t="s">
        <v>525</v>
      </c>
      <c r="B505" s="4">
        <v>45960</v>
      </c>
      <c r="C505" s="4" t="str">
        <f t="shared" si="14"/>
        <v>Oct</v>
      </c>
      <c r="D505" t="s">
        <v>1522</v>
      </c>
      <c r="E505" t="s">
        <v>1523</v>
      </c>
      <c r="F505" t="s">
        <v>1537</v>
      </c>
      <c r="G505" t="s">
        <v>1540</v>
      </c>
      <c r="H505" t="s">
        <v>4</v>
      </c>
      <c r="I505">
        <v>2026</v>
      </c>
      <c r="J505" t="s">
        <v>1554</v>
      </c>
      <c r="K505" t="s">
        <v>1556</v>
      </c>
      <c r="L505">
        <v>1294522</v>
      </c>
      <c r="M505">
        <v>1091085</v>
      </c>
      <c r="N505">
        <v>203437</v>
      </c>
      <c r="O505">
        <v>46</v>
      </c>
      <c r="P505" t="str">
        <f t="shared" si="15"/>
        <v>adult</v>
      </c>
      <c r="Q505" t="s">
        <v>1559</v>
      </c>
      <c r="R505" t="s">
        <v>1563</v>
      </c>
      <c r="S505" t="s">
        <v>1570</v>
      </c>
      <c r="T505">
        <v>909236</v>
      </c>
      <c r="U505">
        <v>1</v>
      </c>
      <c r="V505" t="s">
        <v>1574</v>
      </c>
      <c r="W505" t="s">
        <v>1593</v>
      </c>
      <c r="X505">
        <v>15.72</v>
      </c>
    </row>
    <row r="506" spans="1:24" x14ac:dyDescent="0.25">
      <c r="A506" t="s">
        <v>526</v>
      </c>
      <c r="B506" s="4">
        <v>46144</v>
      </c>
      <c r="C506" s="4" t="str">
        <f t="shared" si="14"/>
        <v>May</v>
      </c>
      <c r="D506" t="s">
        <v>1522</v>
      </c>
      <c r="E506" t="s">
        <v>1527</v>
      </c>
      <c r="F506" t="s">
        <v>1528</v>
      </c>
      <c r="G506" t="s">
        <v>1548</v>
      </c>
      <c r="H506" t="s">
        <v>4</v>
      </c>
      <c r="I506">
        <v>2026</v>
      </c>
      <c r="J506" t="s">
        <v>1554</v>
      </c>
      <c r="K506" t="s">
        <v>1556</v>
      </c>
      <c r="L506">
        <v>1617403</v>
      </c>
      <c r="M506">
        <v>1514453</v>
      </c>
      <c r="N506">
        <v>102950</v>
      </c>
      <c r="O506">
        <v>31</v>
      </c>
      <c r="P506" t="str">
        <f t="shared" si="15"/>
        <v>adult</v>
      </c>
      <c r="Q506" t="s">
        <v>1558</v>
      </c>
      <c r="R506" t="s">
        <v>1561</v>
      </c>
      <c r="S506" t="s">
        <v>1567</v>
      </c>
      <c r="T506">
        <v>2158064</v>
      </c>
      <c r="U506">
        <v>2</v>
      </c>
      <c r="V506" t="s">
        <v>1590</v>
      </c>
      <c r="W506" t="s">
        <v>1592</v>
      </c>
      <c r="X506">
        <v>6.37</v>
      </c>
    </row>
    <row r="507" spans="1:24" x14ac:dyDescent="0.25">
      <c r="A507" t="s">
        <v>527</v>
      </c>
      <c r="B507" s="4">
        <v>45683</v>
      </c>
      <c r="C507" s="4" t="str">
        <f t="shared" si="14"/>
        <v>Jan</v>
      </c>
      <c r="D507" t="s">
        <v>1522</v>
      </c>
      <c r="E507" t="s">
        <v>1525</v>
      </c>
      <c r="F507" t="s">
        <v>1532</v>
      </c>
      <c r="G507" t="s">
        <v>1547</v>
      </c>
      <c r="H507" t="s">
        <v>4</v>
      </c>
      <c r="I507">
        <v>2026</v>
      </c>
      <c r="J507" t="s">
        <v>1554</v>
      </c>
      <c r="K507" t="s">
        <v>1556</v>
      </c>
      <c r="L507">
        <v>1633747</v>
      </c>
      <c r="M507">
        <v>1487806</v>
      </c>
      <c r="N507">
        <v>145941</v>
      </c>
      <c r="O507">
        <v>40</v>
      </c>
      <c r="P507" t="str">
        <f t="shared" si="15"/>
        <v>adult</v>
      </c>
      <c r="Q507" t="s">
        <v>1558</v>
      </c>
      <c r="R507" t="s">
        <v>1565</v>
      </c>
      <c r="S507" t="s">
        <v>1568</v>
      </c>
      <c r="T507">
        <v>156127</v>
      </c>
      <c r="U507">
        <v>1</v>
      </c>
      <c r="V507" t="s">
        <v>1571</v>
      </c>
      <c r="W507" t="s">
        <v>1591</v>
      </c>
      <c r="X507">
        <v>8.93</v>
      </c>
    </row>
    <row r="508" spans="1:24" x14ac:dyDescent="0.25">
      <c r="A508" t="s">
        <v>528</v>
      </c>
      <c r="B508" s="4">
        <v>45671</v>
      </c>
      <c r="C508" s="4" t="str">
        <f t="shared" si="14"/>
        <v>Jan</v>
      </c>
      <c r="D508" t="s">
        <v>1522</v>
      </c>
      <c r="E508" t="s">
        <v>1525</v>
      </c>
      <c r="F508" t="s">
        <v>1537</v>
      </c>
      <c r="G508" t="s">
        <v>1540</v>
      </c>
      <c r="H508" t="s">
        <v>1551</v>
      </c>
      <c r="I508">
        <v>2024</v>
      </c>
      <c r="J508" t="s">
        <v>1554</v>
      </c>
      <c r="K508" t="s">
        <v>1556</v>
      </c>
      <c r="L508">
        <v>883785</v>
      </c>
      <c r="M508">
        <v>785534</v>
      </c>
      <c r="N508">
        <v>98251</v>
      </c>
      <c r="O508">
        <v>55</v>
      </c>
      <c r="P508" t="str">
        <f t="shared" si="15"/>
        <v>senior</v>
      </c>
      <c r="Q508" t="s">
        <v>1558</v>
      </c>
      <c r="R508" t="s">
        <v>1565</v>
      </c>
      <c r="S508" t="s">
        <v>1569</v>
      </c>
      <c r="T508">
        <v>326067</v>
      </c>
      <c r="U508">
        <v>2</v>
      </c>
      <c r="V508" t="s">
        <v>1571</v>
      </c>
      <c r="W508" t="s">
        <v>1591</v>
      </c>
      <c r="X508">
        <v>11.12</v>
      </c>
    </row>
    <row r="509" spans="1:24" x14ac:dyDescent="0.25">
      <c r="A509" t="s">
        <v>529</v>
      </c>
      <c r="B509" s="4">
        <v>45910</v>
      </c>
      <c r="C509" s="4" t="str">
        <f t="shared" si="14"/>
        <v>Sep</v>
      </c>
      <c r="D509" t="s">
        <v>1522</v>
      </c>
      <c r="E509" t="s">
        <v>1526</v>
      </c>
      <c r="F509" t="s">
        <v>1537</v>
      </c>
      <c r="G509" t="s">
        <v>1539</v>
      </c>
      <c r="H509" t="s">
        <v>4</v>
      </c>
      <c r="I509">
        <v>2025</v>
      </c>
      <c r="J509" t="s">
        <v>1554</v>
      </c>
      <c r="K509" t="s">
        <v>1557</v>
      </c>
      <c r="L509">
        <v>1753652</v>
      </c>
      <c r="M509">
        <v>1470450</v>
      </c>
      <c r="N509">
        <v>283202</v>
      </c>
      <c r="O509">
        <v>37</v>
      </c>
      <c r="P509" t="str">
        <f t="shared" si="15"/>
        <v>adult</v>
      </c>
      <c r="Q509" t="s">
        <v>1558</v>
      </c>
      <c r="R509" t="s">
        <v>1564</v>
      </c>
      <c r="S509" t="s">
        <v>1567</v>
      </c>
      <c r="T509">
        <v>776873</v>
      </c>
      <c r="U509">
        <v>2</v>
      </c>
      <c r="V509" t="s">
        <v>1577</v>
      </c>
      <c r="W509" t="s">
        <v>1594</v>
      </c>
      <c r="X509">
        <v>16.149999999999999</v>
      </c>
    </row>
    <row r="510" spans="1:24" x14ac:dyDescent="0.25">
      <c r="A510" t="s">
        <v>530</v>
      </c>
      <c r="B510" s="4">
        <v>45900</v>
      </c>
      <c r="C510" s="4" t="str">
        <f t="shared" si="14"/>
        <v>Aug</v>
      </c>
      <c r="D510" t="s">
        <v>1522</v>
      </c>
      <c r="E510" t="s">
        <v>1526</v>
      </c>
      <c r="F510" t="s">
        <v>1535</v>
      </c>
      <c r="G510" t="s">
        <v>1548</v>
      </c>
      <c r="H510" t="s">
        <v>1551</v>
      </c>
      <c r="I510">
        <v>2024</v>
      </c>
      <c r="J510" t="s">
        <v>1554</v>
      </c>
      <c r="K510" t="s">
        <v>1556</v>
      </c>
      <c r="L510">
        <v>1037750</v>
      </c>
      <c r="M510">
        <v>919793</v>
      </c>
      <c r="N510">
        <v>117957</v>
      </c>
      <c r="O510">
        <v>31</v>
      </c>
      <c r="P510" t="str">
        <f t="shared" si="15"/>
        <v>adult</v>
      </c>
      <c r="Q510" t="s">
        <v>1558</v>
      </c>
      <c r="R510" t="s">
        <v>1562</v>
      </c>
      <c r="S510" t="s">
        <v>1570</v>
      </c>
      <c r="T510">
        <v>1111427</v>
      </c>
      <c r="U510">
        <v>4</v>
      </c>
      <c r="V510" t="s">
        <v>1585</v>
      </c>
      <c r="W510" t="s">
        <v>1594</v>
      </c>
      <c r="X510">
        <v>11.37</v>
      </c>
    </row>
    <row r="511" spans="1:24" x14ac:dyDescent="0.25">
      <c r="A511" t="s">
        <v>531</v>
      </c>
      <c r="B511" s="4">
        <v>45967</v>
      </c>
      <c r="C511" s="4" t="str">
        <f t="shared" si="14"/>
        <v>Nov</v>
      </c>
      <c r="D511" t="s">
        <v>1522</v>
      </c>
      <c r="E511" t="s">
        <v>1524</v>
      </c>
      <c r="F511" t="s">
        <v>1530</v>
      </c>
      <c r="G511" t="s">
        <v>1539</v>
      </c>
      <c r="H511" t="s">
        <v>1550</v>
      </c>
      <c r="I511">
        <v>2025</v>
      </c>
      <c r="J511" t="s">
        <v>1554</v>
      </c>
      <c r="K511" t="s">
        <v>1557</v>
      </c>
      <c r="L511">
        <v>1541898</v>
      </c>
      <c r="M511">
        <v>1287602</v>
      </c>
      <c r="N511">
        <v>254296</v>
      </c>
      <c r="O511">
        <v>21</v>
      </c>
      <c r="P511" t="str">
        <f t="shared" si="15"/>
        <v>young</v>
      </c>
      <c r="Q511" t="s">
        <v>1558</v>
      </c>
      <c r="R511" t="s">
        <v>1565</v>
      </c>
      <c r="S511" t="s">
        <v>1567</v>
      </c>
      <c r="T511">
        <v>873134</v>
      </c>
      <c r="U511">
        <v>3</v>
      </c>
      <c r="V511" t="s">
        <v>1583</v>
      </c>
      <c r="W511" t="s">
        <v>1593</v>
      </c>
      <c r="X511">
        <v>16.489999999999998</v>
      </c>
    </row>
    <row r="512" spans="1:24" x14ac:dyDescent="0.25">
      <c r="A512" t="s">
        <v>532</v>
      </c>
      <c r="B512" s="4">
        <v>46082</v>
      </c>
      <c r="C512" s="4" t="str">
        <f t="shared" si="14"/>
        <v>Mar</v>
      </c>
      <c r="D512" t="s">
        <v>1522</v>
      </c>
      <c r="E512" t="s">
        <v>1527</v>
      </c>
      <c r="F512" t="s">
        <v>1536</v>
      </c>
      <c r="G512" t="s">
        <v>1541</v>
      </c>
      <c r="H512" t="s">
        <v>1551</v>
      </c>
      <c r="I512">
        <v>2024</v>
      </c>
      <c r="J512" t="s">
        <v>1554</v>
      </c>
      <c r="K512" t="s">
        <v>1556</v>
      </c>
      <c r="L512">
        <v>793802</v>
      </c>
      <c r="M512">
        <v>733295</v>
      </c>
      <c r="N512">
        <v>60507</v>
      </c>
      <c r="O512">
        <v>48</v>
      </c>
      <c r="P512" t="str">
        <f t="shared" si="15"/>
        <v>adult</v>
      </c>
      <c r="Q512" t="s">
        <v>1559</v>
      </c>
      <c r="R512" t="s">
        <v>1565</v>
      </c>
      <c r="S512" t="s">
        <v>1567</v>
      </c>
      <c r="T512">
        <v>513217</v>
      </c>
      <c r="U512">
        <v>4</v>
      </c>
      <c r="V512" t="s">
        <v>1586</v>
      </c>
      <c r="W512" t="s">
        <v>1591</v>
      </c>
      <c r="X512">
        <v>7.62</v>
      </c>
    </row>
    <row r="513" spans="1:24" x14ac:dyDescent="0.25">
      <c r="A513" t="s">
        <v>533</v>
      </c>
      <c r="B513" s="4">
        <v>45806</v>
      </c>
      <c r="C513" s="4" t="str">
        <f t="shared" si="14"/>
        <v>May</v>
      </c>
      <c r="D513" t="s">
        <v>1522</v>
      </c>
      <c r="E513" t="s">
        <v>1527</v>
      </c>
      <c r="F513" t="s">
        <v>1533</v>
      </c>
      <c r="G513" t="s">
        <v>1545</v>
      </c>
      <c r="H513" t="s">
        <v>1551</v>
      </c>
      <c r="I513">
        <v>2025</v>
      </c>
      <c r="J513" t="s">
        <v>1554</v>
      </c>
      <c r="K513" t="s">
        <v>1556</v>
      </c>
      <c r="L513">
        <v>872124</v>
      </c>
      <c r="M513">
        <v>784606</v>
      </c>
      <c r="N513">
        <v>87518</v>
      </c>
      <c r="O513">
        <v>34</v>
      </c>
      <c r="P513" t="str">
        <f t="shared" si="15"/>
        <v>adult</v>
      </c>
      <c r="Q513" t="s">
        <v>1558</v>
      </c>
      <c r="R513" t="s">
        <v>1562</v>
      </c>
      <c r="S513" t="s">
        <v>1567</v>
      </c>
      <c r="T513">
        <v>1657245</v>
      </c>
      <c r="U513">
        <v>3</v>
      </c>
      <c r="V513" t="s">
        <v>1572</v>
      </c>
      <c r="W513" t="s">
        <v>1592</v>
      </c>
      <c r="X513">
        <v>10.039999999999999</v>
      </c>
    </row>
    <row r="514" spans="1:24" x14ac:dyDescent="0.25">
      <c r="A514" t="s">
        <v>534</v>
      </c>
      <c r="B514" s="4">
        <v>45957</v>
      </c>
      <c r="C514" s="4" t="str">
        <f t="shared" si="14"/>
        <v>Oct</v>
      </c>
      <c r="D514" t="s">
        <v>1522</v>
      </c>
      <c r="E514" t="s">
        <v>1523</v>
      </c>
      <c r="F514" t="s">
        <v>1531</v>
      </c>
      <c r="G514" t="s">
        <v>1538</v>
      </c>
      <c r="H514" t="s">
        <v>1552</v>
      </c>
      <c r="I514">
        <v>2023</v>
      </c>
      <c r="J514" t="s">
        <v>1555</v>
      </c>
      <c r="K514" t="s">
        <v>1556</v>
      </c>
      <c r="L514">
        <v>1906113</v>
      </c>
      <c r="M514">
        <v>1679220</v>
      </c>
      <c r="N514">
        <v>226893</v>
      </c>
      <c r="O514">
        <v>25</v>
      </c>
      <c r="P514" t="str">
        <f t="shared" si="15"/>
        <v>young</v>
      </c>
      <c r="Q514" t="s">
        <v>1559</v>
      </c>
      <c r="R514" t="s">
        <v>1562</v>
      </c>
      <c r="S514" t="s">
        <v>1569</v>
      </c>
      <c r="T514">
        <v>768716</v>
      </c>
      <c r="U514">
        <v>2</v>
      </c>
      <c r="V514" t="s">
        <v>1574</v>
      </c>
      <c r="W514" t="s">
        <v>1593</v>
      </c>
      <c r="X514">
        <v>11.9</v>
      </c>
    </row>
    <row r="515" spans="1:24" x14ac:dyDescent="0.25">
      <c r="A515" t="s">
        <v>535</v>
      </c>
      <c r="B515" s="4">
        <v>45911</v>
      </c>
      <c r="C515" s="4" t="str">
        <f t="shared" ref="C515:C578" si="16">TEXT(B515,"MMM")</f>
        <v>Sep</v>
      </c>
      <c r="D515" t="s">
        <v>1522</v>
      </c>
      <c r="E515" t="s">
        <v>1527</v>
      </c>
      <c r="F515" t="s">
        <v>1532</v>
      </c>
      <c r="G515" t="s">
        <v>1540</v>
      </c>
      <c r="H515" t="s">
        <v>4</v>
      </c>
      <c r="I515">
        <v>2024</v>
      </c>
      <c r="J515" t="s">
        <v>1554</v>
      </c>
      <c r="K515" t="s">
        <v>1557</v>
      </c>
      <c r="L515">
        <v>1707098</v>
      </c>
      <c r="M515">
        <v>1579118</v>
      </c>
      <c r="N515">
        <v>127980</v>
      </c>
      <c r="O515">
        <v>27</v>
      </c>
      <c r="P515" t="str">
        <f t="shared" ref="P515:P578" si="17">IF(O515&gt;50,"senior",IF(O515&gt;30,"adult","young"))</f>
        <v>young</v>
      </c>
      <c r="Q515" t="s">
        <v>1559</v>
      </c>
      <c r="R515" t="s">
        <v>1562</v>
      </c>
      <c r="S515" t="s">
        <v>1569</v>
      </c>
      <c r="T515">
        <v>141523</v>
      </c>
      <c r="U515">
        <v>4</v>
      </c>
      <c r="V515" t="s">
        <v>1577</v>
      </c>
      <c r="W515" t="s">
        <v>1594</v>
      </c>
      <c r="X515">
        <v>7.5</v>
      </c>
    </row>
    <row r="516" spans="1:24" x14ac:dyDescent="0.25">
      <c r="A516" t="s">
        <v>536</v>
      </c>
      <c r="B516" s="4">
        <v>45664</v>
      </c>
      <c r="C516" s="4" t="str">
        <f t="shared" si="16"/>
        <v>Jan</v>
      </c>
      <c r="D516" t="s">
        <v>1522</v>
      </c>
      <c r="E516" t="s">
        <v>1527</v>
      </c>
      <c r="F516" t="s">
        <v>1536</v>
      </c>
      <c r="G516" t="s">
        <v>1547</v>
      </c>
      <c r="H516" t="s">
        <v>1551</v>
      </c>
      <c r="I516">
        <v>2024</v>
      </c>
      <c r="J516" t="s">
        <v>1554</v>
      </c>
      <c r="K516" t="s">
        <v>1557</v>
      </c>
      <c r="L516">
        <v>846566</v>
      </c>
      <c r="M516">
        <v>722289</v>
      </c>
      <c r="N516">
        <v>124277</v>
      </c>
      <c r="O516">
        <v>53</v>
      </c>
      <c r="P516" t="str">
        <f t="shared" si="17"/>
        <v>senior</v>
      </c>
      <c r="Q516" t="s">
        <v>1559</v>
      </c>
      <c r="R516" t="s">
        <v>1566</v>
      </c>
      <c r="S516" t="s">
        <v>1568</v>
      </c>
      <c r="T516">
        <v>758298</v>
      </c>
      <c r="U516">
        <v>2</v>
      </c>
      <c r="V516" t="s">
        <v>1571</v>
      </c>
      <c r="W516" t="s">
        <v>1591</v>
      </c>
      <c r="X516">
        <v>14.68</v>
      </c>
    </row>
    <row r="517" spans="1:24" x14ac:dyDescent="0.25">
      <c r="A517" t="s">
        <v>537</v>
      </c>
      <c r="B517" s="4">
        <v>45776</v>
      </c>
      <c r="C517" s="4" t="str">
        <f t="shared" si="16"/>
        <v>Apr</v>
      </c>
      <c r="D517" t="s">
        <v>1522</v>
      </c>
      <c r="E517" t="s">
        <v>1526</v>
      </c>
      <c r="F517" t="s">
        <v>1535</v>
      </c>
      <c r="G517" t="s">
        <v>1538</v>
      </c>
      <c r="H517" t="s">
        <v>1552</v>
      </c>
      <c r="I517">
        <v>2023</v>
      </c>
      <c r="J517" t="s">
        <v>1555</v>
      </c>
      <c r="K517" t="s">
        <v>1556</v>
      </c>
      <c r="L517">
        <v>2015526</v>
      </c>
      <c r="M517">
        <v>1736389</v>
      </c>
      <c r="N517">
        <v>279137</v>
      </c>
      <c r="O517">
        <v>64</v>
      </c>
      <c r="P517" t="str">
        <f t="shared" si="17"/>
        <v>senior</v>
      </c>
      <c r="Q517" t="s">
        <v>1558</v>
      </c>
      <c r="R517" t="s">
        <v>1563</v>
      </c>
      <c r="S517" t="s">
        <v>1567</v>
      </c>
      <c r="T517">
        <v>1858947</v>
      </c>
      <c r="U517">
        <v>2</v>
      </c>
      <c r="V517" t="s">
        <v>1573</v>
      </c>
      <c r="W517" t="s">
        <v>1592</v>
      </c>
      <c r="X517">
        <v>13.85</v>
      </c>
    </row>
    <row r="518" spans="1:24" x14ac:dyDescent="0.25">
      <c r="A518" t="s">
        <v>538</v>
      </c>
      <c r="B518" s="4">
        <v>45917</v>
      </c>
      <c r="C518" s="4" t="str">
        <f t="shared" si="16"/>
        <v>Sep</v>
      </c>
      <c r="D518" t="s">
        <v>1522</v>
      </c>
      <c r="E518" t="s">
        <v>1527</v>
      </c>
      <c r="F518" t="s">
        <v>1529</v>
      </c>
      <c r="G518" t="s">
        <v>1542</v>
      </c>
      <c r="H518" t="s">
        <v>1551</v>
      </c>
      <c r="I518">
        <v>2024</v>
      </c>
      <c r="J518" t="s">
        <v>1554</v>
      </c>
      <c r="K518" t="s">
        <v>1557</v>
      </c>
      <c r="L518">
        <v>899488</v>
      </c>
      <c r="M518">
        <v>782545</v>
      </c>
      <c r="N518">
        <v>116943</v>
      </c>
      <c r="O518">
        <v>34</v>
      </c>
      <c r="P518" t="str">
        <f t="shared" si="17"/>
        <v>adult</v>
      </c>
      <c r="Q518" t="s">
        <v>1558</v>
      </c>
      <c r="R518" t="s">
        <v>1563</v>
      </c>
      <c r="S518" t="s">
        <v>1570</v>
      </c>
      <c r="T518">
        <v>452771</v>
      </c>
      <c r="U518">
        <v>3</v>
      </c>
      <c r="V518" t="s">
        <v>1577</v>
      </c>
      <c r="W518" t="s">
        <v>1594</v>
      </c>
      <c r="X518">
        <v>13</v>
      </c>
    </row>
    <row r="519" spans="1:24" x14ac:dyDescent="0.25">
      <c r="A519" t="s">
        <v>539</v>
      </c>
      <c r="B519" s="4">
        <v>46024</v>
      </c>
      <c r="C519" s="4" t="str">
        <f t="shared" si="16"/>
        <v>Jan</v>
      </c>
      <c r="D519" t="s">
        <v>1522</v>
      </c>
      <c r="E519" t="s">
        <v>1525</v>
      </c>
      <c r="F519" t="s">
        <v>1528</v>
      </c>
      <c r="G519" t="s">
        <v>1544</v>
      </c>
      <c r="H519" t="s">
        <v>1551</v>
      </c>
      <c r="I519">
        <v>2025</v>
      </c>
      <c r="J519" t="s">
        <v>1554</v>
      </c>
      <c r="K519" t="s">
        <v>1557</v>
      </c>
      <c r="L519">
        <v>836161</v>
      </c>
      <c r="M519">
        <v>819904</v>
      </c>
      <c r="N519">
        <v>16257</v>
      </c>
      <c r="O519">
        <v>57</v>
      </c>
      <c r="P519" t="str">
        <f t="shared" si="17"/>
        <v>senior</v>
      </c>
      <c r="Q519" t="s">
        <v>1558</v>
      </c>
      <c r="R519" t="s">
        <v>1562</v>
      </c>
      <c r="S519" t="s">
        <v>1568</v>
      </c>
      <c r="T519">
        <v>2126572</v>
      </c>
      <c r="U519">
        <v>1</v>
      </c>
      <c r="V519" t="s">
        <v>1581</v>
      </c>
      <c r="W519" t="s">
        <v>1591</v>
      </c>
      <c r="X519">
        <v>1.94</v>
      </c>
    </row>
    <row r="520" spans="1:24" x14ac:dyDescent="0.25">
      <c r="A520" t="s">
        <v>540</v>
      </c>
      <c r="B520" s="4">
        <v>46108</v>
      </c>
      <c r="C520" s="4" t="str">
        <f t="shared" si="16"/>
        <v>Mar</v>
      </c>
      <c r="D520" t="s">
        <v>1522</v>
      </c>
      <c r="E520" t="s">
        <v>1524</v>
      </c>
      <c r="F520" t="s">
        <v>1533</v>
      </c>
      <c r="G520" t="s">
        <v>1544</v>
      </c>
      <c r="H520" t="s">
        <v>1551</v>
      </c>
      <c r="I520">
        <v>2025</v>
      </c>
      <c r="J520" t="s">
        <v>1554</v>
      </c>
      <c r="K520" t="s">
        <v>1557</v>
      </c>
      <c r="L520">
        <v>976435</v>
      </c>
      <c r="M520">
        <v>904207</v>
      </c>
      <c r="N520">
        <v>72228</v>
      </c>
      <c r="O520">
        <v>39</v>
      </c>
      <c r="P520" t="str">
        <f t="shared" si="17"/>
        <v>adult</v>
      </c>
      <c r="Q520" t="s">
        <v>1558</v>
      </c>
      <c r="R520" t="s">
        <v>1563</v>
      </c>
      <c r="S520" t="s">
        <v>1569</v>
      </c>
      <c r="T520">
        <v>2159842</v>
      </c>
      <c r="U520">
        <v>4</v>
      </c>
      <c r="V520" t="s">
        <v>1586</v>
      </c>
      <c r="W520" t="s">
        <v>1591</v>
      </c>
      <c r="X520">
        <v>7.4</v>
      </c>
    </row>
    <row r="521" spans="1:24" x14ac:dyDescent="0.25">
      <c r="A521" t="s">
        <v>541</v>
      </c>
      <c r="B521" s="4">
        <v>45785</v>
      </c>
      <c r="C521" s="4" t="str">
        <f t="shared" si="16"/>
        <v>May</v>
      </c>
      <c r="D521" t="s">
        <v>1522</v>
      </c>
      <c r="E521" t="s">
        <v>1523</v>
      </c>
      <c r="F521" t="s">
        <v>1528</v>
      </c>
      <c r="G521" t="s">
        <v>1541</v>
      </c>
      <c r="H521" t="s">
        <v>4</v>
      </c>
      <c r="I521">
        <v>2026</v>
      </c>
      <c r="J521" t="s">
        <v>1554</v>
      </c>
      <c r="K521" t="s">
        <v>1557</v>
      </c>
      <c r="L521">
        <v>1298022</v>
      </c>
      <c r="M521">
        <v>1130130</v>
      </c>
      <c r="N521">
        <v>167892</v>
      </c>
      <c r="O521">
        <v>29</v>
      </c>
      <c r="P521" t="str">
        <f t="shared" si="17"/>
        <v>young</v>
      </c>
      <c r="Q521" t="s">
        <v>1558</v>
      </c>
      <c r="R521" t="s">
        <v>1562</v>
      </c>
      <c r="S521" t="s">
        <v>1567</v>
      </c>
      <c r="T521">
        <v>1691251</v>
      </c>
      <c r="U521">
        <v>2</v>
      </c>
      <c r="V521" t="s">
        <v>1572</v>
      </c>
      <c r="W521" t="s">
        <v>1592</v>
      </c>
      <c r="X521">
        <v>12.93</v>
      </c>
    </row>
    <row r="522" spans="1:24" x14ac:dyDescent="0.25">
      <c r="A522" t="s">
        <v>542</v>
      </c>
      <c r="B522" s="4">
        <v>45931</v>
      </c>
      <c r="C522" s="4" t="str">
        <f t="shared" si="16"/>
        <v>Oct</v>
      </c>
      <c r="D522" t="s">
        <v>1522</v>
      </c>
      <c r="E522" t="s">
        <v>1526</v>
      </c>
      <c r="F522" t="s">
        <v>1529</v>
      </c>
      <c r="G522" t="s">
        <v>1546</v>
      </c>
      <c r="H522" t="s">
        <v>1550</v>
      </c>
      <c r="I522">
        <v>2026</v>
      </c>
      <c r="J522" t="s">
        <v>1554</v>
      </c>
      <c r="K522" t="s">
        <v>1556</v>
      </c>
      <c r="L522">
        <v>1490278</v>
      </c>
      <c r="M522">
        <v>1320347</v>
      </c>
      <c r="N522">
        <v>169931</v>
      </c>
      <c r="O522">
        <v>52</v>
      </c>
      <c r="P522" t="str">
        <f t="shared" si="17"/>
        <v>senior</v>
      </c>
      <c r="Q522" t="s">
        <v>1558</v>
      </c>
      <c r="R522" t="s">
        <v>1563</v>
      </c>
      <c r="S522" t="s">
        <v>1568</v>
      </c>
      <c r="T522">
        <v>51723</v>
      </c>
      <c r="U522">
        <v>2</v>
      </c>
      <c r="V522" t="s">
        <v>1574</v>
      </c>
      <c r="W522" t="s">
        <v>1593</v>
      </c>
      <c r="X522">
        <v>11.4</v>
      </c>
    </row>
    <row r="523" spans="1:24" x14ac:dyDescent="0.25">
      <c r="A523" t="s">
        <v>543</v>
      </c>
      <c r="B523" s="4">
        <v>45836</v>
      </c>
      <c r="C523" s="4" t="str">
        <f t="shared" si="16"/>
        <v>Jun</v>
      </c>
      <c r="D523" t="s">
        <v>1522</v>
      </c>
      <c r="E523" t="s">
        <v>1524</v>
      </c>
      <c r="F523" t="s">
        <v>1529</v>
      </c>
      <c r="G523" t="s">
        <v>1539</v>
      </c>
      <c r="H523" t="s">
        <v>1552</v>
      </c>
      <c r="I523">
        <v>2024</v>
      </c>
      <c r="J523" t="s">
        <v>1555</v>
      </c>
      <c r="K523" t="s">
        <v>1556</v>
      </c>
      <c r="L523">
        <v>1928147</v>
      </c>
      <c r="M523">
        <v>1596859</v>
      </c>
      <c r="N523">
        <v>331288</v>
      </c>
      <c r="O523">
        <v>57</v>
      </c>
      <c r="P523" t="str">
        <f t="shared" si="17"/>
        <v>senior</v>
      </c>
      <c r="Q523" t="s">
        <v>1558</v>
      </c>
      <c r="R523" t="s">
        <v>1564</v>
      </c>
      <c r="S523" t="s">
        <v>1570</v>
      </c>
      <c r="T523">
        <v>329858</v>
      </c>
      <c r="U523">
        <v>3</v>
      </c>
      <c r="V523" t="s">
        <v>1584</v>
      </c>
      <c r="W523" t="s">
        <v>1592</v>
      </c>
      <c r="X523">
        <v>17.18</v>
      </c>
    </row>
    <row r="524" spans="1:24" x14ac:dyDescent="0.25">
      <c r="A524" t="s">
        <v>544</v>
      </c>
      <c r="B524" s="4">
        <v>46214</v>
      </c>
      <c r="C524" s="4" t="str">
        <f t="shared" si="16"/>
        <v>Jul</v>
      </c>
      <c r="D524" t="s">
        <v>1522</v>
      </c>
      <c r="E524" t="s">
        <v>1527</v>
      </c>
      <c r="F524" t="s">
        <v>1534</v>
      </c>
      <c r="G524" t="s">
        <v>1543</v>
      </c>
      <c r="H524" t="s">
        <v>1552</v>
      </c>
      <c r="I524">
        <v>2025</v>
      </c>
      <c r="J524" t="s">
        <v>1555</v>
      </c>
      <c r="K524" t="s">
        <v>1556</v>
      </c>
      <c r="L524">
        <v>1974061</v>
      </c>
      <c r="M524">
        <v>1737551</v>
      </c>
      <c r="N524">
        <v>236510</v>
      </c>
      <c r="O524">
        <v>49</v>
      </c>
      <c r="P524" t="str">
        <f t="shared" si="17"/>
        <v>adult</v>
      </c>
      <c r="Q524" t="s">
        <v>1559</v>
      </c>
      <c r="R524" t="s">
        <v>1564</v>
      </c>
      <c r="S524" t="s">
        <v>1568</v>
      </c>
      <c r="T524">
        <v>146024</v>
      </c>
      <c r="U524">
        <v>2</v>
      </c>
      <c r="V524" t="s">
        <v>1587</v>
      </c>
      <c r="W524" t="s">
        <v>1594</v>
      </c>
      <c r="X524">
        <v>11.98</v>
      </c>
    </row>
    <row r="525" spans="1:24" x14ac:dyDescent="0.25">
      <c r="A525" t="s">
        <v>545</v>
      </c>
      <c r="B525" s="4">
        <v>45776</v>
      </c>
      <c r="C525" s="4" t="str">
        <f t="shared" si="16"/>
        <v>Apr</v>
      </c>
      <c r="D525" t="s">
        <v>1522</v>
      </c>
      <c r="E525" t="s">
        <v>1524</v>
      </c>
      <c r="F525" t="s">
        <v>1533</v>
      </c>
      <c r="G525" t="s">
        <v>1547</v>
      </c>
      <c r="H525" t="s">
        <v>1551</v>
      </c>
      <c r="I525">
        <v>2023</v>
      </c>
      <c r="J525" t="s">
        <v>1554</v>
      </c>
      <c r="K525" t="s">
        <v>1557</v>
      </c>
      <c r="L525">
        <v>922957</v>
      </c>
      <c r="M525">
        <v>826429</v>
      </c>
      <c r="N525">
        <v>96528</v>
      </c>
      <c r="O525">
        <v>61</v>
      </c>
      <c r="P525" t="str">
        <f t="shared" si="17"/>
        <v>senior</v>
      </c>
      <c r="Q525" t="s">
        <v>1559</v>
      </c>
      <c r="R525" t="s">
        <v>1564</v>
      </c>
      <c r="S525" t="s">
        <v>1568</v>
      </c>
      <c r="T525">
        <v>1823632</v>
      </c>
      <c r="U525">
        <v>2</v>
      </c>
      <c r="V525" t="s">
        <v>1573</v>
      </c>
      <c r="W525" t="s">
        <v>1592</v>
      </c>
      <c r="X525">
        <v>10.46</v>
      </c>
    </row>
    <row r="526" spans="1:24" x14ac:dyDescent="0.25">
      <c r="A526" t="s">
        <v>546</v>
      </c>
      <c r="B526" s="4">
        <v>46049</v>
      </c>
      <c r="C526" s="4" t="str">
        <f t="shared" si="16"/>
        <v>Jan</v>
      </c>
      <c r="D526" t="s">
        <v>1522</v>
      </c>
      <c r="E526" t="s">
        <v>1523</v>
      </c>
      <c r="F526" t="s">
        <v>1535</v>
      </c>
      <c r="G526" t="s">
        <v>1538</v>
      </c>
      <c r="H526" t="s">
        <v>4</v>
      </c>
      <c r="I526">
        <v>2025</v>
      </c>
      <c r="J526" t="s">
        <v>1554</v>
      </c>
      <c r="K526" t="s">
        <v>1557</v>
      </c>
      <c r="L526">
        <v>1812530</v>
      </c>
      <c r="M526">
        <v>1656245</v>
      </c>
      <c r="N526">
        <v>156285</v>
      </c>
      <c r="O526">
        <v>62</v>
      </c>
      <c r="P526" t="str">
        <f t="shared" si="17"/>
        <v>senior</v>
      </c>
      <c r="Q526" t="s">
        <v>1558</v>
      </c>
      <c r="R526" t="s">
        <v>1563</v>
      </c>
      <c r="S526" t="s">
        <v>1567</v>
      </c>
      <c r="T526">
        <v>947</v>
      </c>
      <c r="U526">
        <v>5</v>
      </c>
      <c r="V526" t="s">
        <v>1581</v>
      </c>
      <c r="W526" t="s">
        <v>1591</v>
      </c>
      <c r="X526">
        <v>8.6199999999999992</v>
      </c>
    </row>
    <row r="527" spans="1:24" x14ac:dyDescent="0.25">
      <c r="A527" t="s">
        <v>547</v>
      </c>
      <c r="B527" s="4">
        <v>46160</v>
      </c>
      <c r="C527" s="4" t="str">
        <f t="shared" si="16"/>
        <v>May</v>
      </c>
      <c r="D527" t="s">
        <v>1522</v>
      </c>
      <c r="E527" t="s">
        <v>1524</v>
      </c>
      <c r="F527" t="s">
        <v>1533</v>
      </c>
      <c r="G527" t="s">
        <v>1540</v>
      </c>
      <c r="H527" t="s">
        <v>1550</v>
      </c>
      <c r="I527">
        <v>2022</v>
      </c>
      <c r="J527" t="s">
        <v>1554</v>
      </c>
      <c r="K527" t="s">
        <v>1556</v>
      </c>
      <c r="L527">
        <v>1293706</v>
      </c>
      <c r="M527">
        <v>1235745</v>
      </c>
      <c r="N527">
        <v>57961</v>
      </c>
      <c r="O527">
        <v>51</v>
      </c>
      <c r="P527" t="str">
        <f t="shared" si="17"/>
        <v>senior</v>
      </c>
      <c r="Q527" t="s">
        <v>1558</v>
      </c>
      <c r="R527" t="s">
        <v>1562</v>
      </c>
      <c r="S527" t="s">
        <v>1567</v>
      </c>
      <c r="T527">
        <v>2079211</v>
      </c>
      <c r="U527">
        <v>2</v>
      </c>
      <c r="V527" t="s">
        <v>1590</v>
      </c>
      <c r="W527" t="s">
        <v>1592</v>
      </c>
      <c r="X527">
        <v>4.4800000000000004</v>
      </c>
    </row>
    <row r="528" spans="1:24" x14ac:dyDescent="0.25">
      <c r="A528" t="s">
        <v>548</v>
      </c>
      <c r="B528" s="4">
        <v>46132</v>
      </c>
      <c r="C528" s="4" t="str">
        <f t="shared" si="16"/>
        <v>Apr</v>
      </c>
      <c r="D528" t="s">
        <v>1522</v>
      </c>
      <c r="E528" t="s">
        <v>1523</v>
      </c>
      <c r="F528" t="s">
        <v>1529</v>
      </c>
      <c r="G528" t="s">
        <v>1542</v>
      </c>
      <c r="H528" t="s">
        <v>1552</v>
      </c>
      <c r="I528">
        <v>2022</v>
      </c>
      <c r="J528" t="s">
        <v>1555</v>
      </c>
      <c r="K528" t="s">
        <v>1556</v>
      </c>
      <c r="L528">
        <v>1838632</v>
      </c>
      <c r="M528">
        <v>1590867</v>
      </c>
      <c r="N528">
        <v>247765</v>
      </c>
      <c r="O528">
        <v>51</v>
      </c>
      <c r="P528" t="str">
        <f t="shared" si="17"/>
        <v>senior</v>
      </c>
      <c r="Q528" t="s">
        <v>1559</v>
      </c>
      <c r="R528" t="s">
        <v>1566</v>
      </c>
      <c r="S528" t="s">
        <v>1568</v>
      </c>
      <c r="T528">
        <v>307448</v>
      </c>
      <c r="U528">
        <v>1</v>
      </c>
      <c r="V528" t="s">
        <v>1580</v>
      </c>
      <c r="W528" t="s">
        <v>1592</v>
      </c>
      <c r="X528">
        <v>13.48</v>
      </c>
    </row>
    <row r="529" spans="1:24" x14ac:dyDescent="0.25">
      <c r="A529" t="s">
        <v>549</v>
      </c>
      <c r="B529" s="4">
        <v>45731</v>
      </c>
      <c r="C529" s="4" t="str">
        <f t="shared" si="16"/>
        <v>Mar</v>
      </c>
      <c r="D529" t="s">
        <v>1522</v>
      </c>
      <c r="E529" t="s">
        <v>1526</v>
      </c>
      <c r="F529" t="s">
        <v>1529</v>
      </c>
      <c r="G529" t="s">
        <v>1543</v>
      </c>
      <c r="H529" t="s">
        <v>1552</v>
      </c>
      <c r="I529">
        <v>2026</v>
      </c>
      <c r="J529" t="s">
        <v>1555</v>
      </c>
      <c r="K529" t="s">
        <v>1556</v>
      </c>
      <c r="L529">
        <v>2011106</v>
      </c>
      <c r="M529">
        <v>1710820</v>
      </c>
      <c r="N529">
        <v>300286</v>
      </c>
      <c r="O529">
        <v>25</v>
      </c>
      <c r="P529" t="str">
        <f t="shared" si="17"/>
        <v>young</v>
      </c>
      <c r="Q529" t="s">
        <v>1558</v>
      </c>
      <c r="R529" t="s">
        <v>1566</v>
      </c>
      <c r="S529" t="s">
        <v>1567</v>
      </c>
      <c r="T529">
        <v>33712</v>
      </c>
      <c r="U529">
        <v>5</v>
      </c>
      <c r="V529" t="s">
        <v>1588</v>
      </c>
      <c r="W529" t="s">
        <v>1591</v>
      </c>
      <c r="X529">
        <v>14.93</v>
      </c>
    </row>
    <row r="530" spans="1:24" x14ac:dyDescent="0.25">
      <c r="A530" t="s">
        <v>550</v>
      </c>
      <c r="B530" s="4">
        <v>45888</v>
      </c>
      <c r="C530" s="4" t="str">
        <f t="shared" si="16"/>
        <v>Aug</v>
      </c>
      <c r="D530" t="s">
        <v>1522</v>
      </c>
      <c r="E530" t="s">
        <v>1525</v>
      </c>
      <c r="F530" t="s">
        <v>1533</v>
      </c>
      <c r="G530" t="s">
        <v>1545</v>
      </c>
      <c r="H530" t="s">
        <v>4</v>
      </c>
      <c r="I530">
        <v>2025</v>
      </c>
      <c r="J530" t="s">
        <v>1554</v>
      </c>
      <c r="K530" t="s">
        <v>1557</v>
      </c>
      <c r="L530">
        <v>1356029</v>
      </c>
      <c r="M530">
        <v>1225512</v>
      </c>
      <c r="N530">
        <v>130517</v>
      </c>
      <c r="O530">
        <v>41</v>
      </c>
      <c r="P530" t="str">
        <f t="shared" si="17"/>
        <v>adult</v>
      </c>
      <c r="Q530" t="s">
        <v>1558</v>
      </c>
      <c r="R530" t="s">
        <v>1564</v>
      </c>
      <c r="S530" t="s">
        <v>1568</v>
      </c>
      <c r="T530">
        <v>635984</v>
      </c>
      <c r="U530">
        <v>4</v>
      </c>
      <c r="V530" t="s">
        <v>1585</v>
      </c>
      <c r="W530" t="s">
        <v>1594</v>
      </c>
      <c r="X530">
        <v>9.6199999999999992</v>
      </c>
    </row>
    <row r="531" spans="1:24" x14ac:dyDescent="0.25">
      <c r="A531" t="s">
        <v>551</v>
      </c>
      <c r="B531" s="4">
        <v>46215</v>
      </c>
      <c r="C531" s="4" t="str">
        <f t="shared" si="16"/>
        <v>Jul</v>
      </c>
      <c r="D531" t="s">
        <v>1522</v>
      </c>
      <c r="E531" t="s">
        <v>1526</v>
      </c>
      <c r="F531" t="s">
        <v>1533</v>
      </c>
      <c r="G531" t="s">
        <v>1545</v>
      </c>
      <c r="H531" t="s">
        <v>1552</v>
      </c>
      <c r="I531">
        <v>2024</v>
      </c>
      <c r="J531" t="s">
        <v>1555</v>
      </c>
      <c r="K531" t="s">
        <v>1556</v>
      </c>
      <c r="L531">
        <v>1948495</v>
      </c>
      <c r="M531">
        <v>1646874</v>
      </c>
      <c r="N531">
        <v>301621</v>
      </c>
      <c r="O531">
        <v>59</v>
      </c>
      <c r="P531" t="str">
        <f t="shared" si="17"/>
        <v>senior</v>
      </c>
      <c r="Q531" t="s">
        <v>1559</v>
      </c>
      <c r="R531" t="s">
        <v>1564</v>
      </c>
      <c r="S531" t="s">
        <v>1567</v>
      </c>
      <c r="T531">
        <v>587629</v>
      </c>
      <c r="U531">
        <v>4</v>
      </c>
      <c r="V531" t="s">
        <v>1587</v>
      </c>
      <c r="W531" t="s">
        <v>1594</v>
      </c>
      <c r="X531">
        <v>15.48</v>
      </c>
    </row>
    <row r="532" spans="1:24" x14ac:dyDescent="0.25">
      <c r="A532" t="s">
        <v>552</v>
      </c>
      <c r="B532" s="4">
        <v>46209</v>
      </c>
      <c r="C532" s="4" t="str">
        <f t="shared" si="16"/>
        <v>Jul</v>
      </c>
      <c r="D532" t="s">
        <v>1522</v>
      </c>
      <c r="E532" t="s">
        <v>1523</v>
      </c>
      <c r="F532" t="s">
        <v>1534</v>
      </c>
      <c r="G532" t="s">
        <v>1548</v>
      </c>
      <c r="H532" t="s">
        <v>1550</v>
      </c>
      <c r="I532">
        <v>2025</v>
      </c>
      <c r="J532" t="s">
        <v>1554</v>
      </c>
      <c r="K532" t="s">
        <v>1556</v>
      </c>
      <c r="L532">
        <v>1612466</v>
      </c>
      <c r="M532">
        <v>1513255</v>
      </c>
      <c r="N532">
        <v>99211</v>
      </c>
      <c r="O532">
        <v>30</v>
      </c>
      <c r="P532" t="str">
        <f t="shared" si="17"/>
        <v>young</v>
      </c>
      <c r="Q532" t="s">
        <v>1558</v>
      </c>
      <c r="R532" t="s">
        <v>1562</v>
      </c>
      <c r="S532" t="s">
        <v>1568</v>
      </c>
      <c r="T532">
        <v>1263805</v>
      </c>
      <c r="U532">
        <v>3</v>
      </c>
      <c r="V532" t="s">
        <v>1587</v>
      </c>
      <c r="W532" t="s">
        <v>1594</v>
      </c>
      <c r="X532">
        <v>6.15</v>
      </c>
    </row>
    <row r="533" spans="1:24" x14ac:dyDescent="0.25">
      <c r="A533" t="s">
        <v>553</v>
      </c>
      <c r="B533" s="4">
        <v>45870</v>
      </c>
      <c r="C533" s="4" t="str">
        <f t="shared" si="16"/>
        <v>Aug</v>
      </c>
      <c r="D533" t="s">
        <v>1522</v>
      </c>
      <c r="E533" t="s">
        <v>1527</v>
      </c>
      <c r="F533" t="s">
        <v>1537</v>
      </c>
      <c r="G533" t="s">
        <v>1541</v>
      </c>
      <c r="H533" t="s">
        <v>1550</v>
      </c>
      <c r="I533">
        <v>2024</v>
      </c>
      <c r="J533" t="s">
        <v>1554</v>
      </c>
      <c r="K533" t="s">
        <v>1556</v>
      </c>
      <c r="L533">
        <v>1250107</v>
      </c>
      <c r="M533">
        <v>1135885</v>
      </c>
      <c r="N533">
        <v>114222</v>
      </c>
      <c r="O533">
        <v>33</v>
      </c>
      <c r="P533" t="str">
        <f t="shared" si="17"/>
        <v>adult</v>
      </c>
      <c r="Q533" t="s">
        <v>1559</v>
      </c>
      <c r="R533" t="s">
        <v>1562</v>
      </c>
      <c r="S533" t="s">
        <v>1568</v>
      </c>
      <c r="T533">
        <v>161032</v>
      </c>
      <c r="U533">
        <v>5</v>
      </c>
      <c r="V533" t="s">
        <v>1585</v>
      </c>
      <c r="W533" t="s">
        <v>1594</v>
      </c>
      <c r="X533">
        <v>9.14</v>
      </c>
    </row>
    <row r="534" spans="1:24" x14ac:dyDescent="0.25">
      <c r="A534" t="s">
        <v>554</v>
      </c>
      <c r="B534" s="4">
        <v>45834</v>
      </c>
      <c r="C534" s="4" t="str">
        <f t="shared" si="16"/>
        <v>Jun</v>
      </c>
      <c r="D534" t="s">
        <v>1522</v>
      </c>
      <c r="E534" t="s">
        <v>1525</v>
      </c>
      <c r="F534" t="s">
        <v>1535</v>
      </c>
      <c r="G534" t="s">
        <v>1539</v>
      </c>
      <c r="H534" t="s">
        <v>4</v>
      </c>
      <c r="I534">
        <v>2025</v>
      </c>
      <c r="J534" t="s">
        <v>1554</v>
      </c>
      <c r="K534" t="s">
        <v>1556</v>
      </c>
      <c r="L534">
        <v>1576943</v>
      </c>
      <c r="M534">
        <v>1338377</v>
      </c>
      <c r="N534">
        <v>238566</v>
      </c>
      <c r="O534">
        <v>63</v>
      </c>
      <c r="P534" t="str">
        <f t="shared" si="17"/>
        <v>senior</v>
      </c>
      <c r="Q534" t="s">
        <v>1558</v>
      </c>
      <c r="R534" t="s">
        <v>1562</v>
      </c>
      <c r="S534" t="s">
        <v>1567</v>
      </c>
      <c r="T534">
        <v>1387676</v>
      </c>
      <c r="U534">
        <v>5</v>
      </c>
      <c r="V534" t="s">
        <v>1584</v>
      </c>
      <c r="W534" t="s">
        <v>1592</v>
      </c>
      <c r="X534">
        <v>15.13</v>
      </c>
    </row>
    <row r="535" spans="1:24" x14ac:dyDescent="0.25">
      <c r="A535" t="s">
        <v>555</v>
      </c>
      <c r="B535" s="4">
        <v>45879</v>
      </c>
      <c r="C535" s="4" t="str">
        <f t="shared" si="16"/>
        <v>Aug</v>
      </c>
      <c r="D535" t="s">
        <v>1522</v>
      </c>
      <c r="E535" t="s">
        <v>1526</v>
      </c>
      <c r="F535" t="s">
        <v>1534</v>
      </c>
      <c r="G535" t="s">
        <v>1548</v>
      </c>
      <c r="H535" t="s">
        <v>1552</v>
      </c>
      <c r="I535">
        <v>2025</v>
      </c>
      <c r="J535" t="s">
        <v>1555</v>
      </c>
      <c r="K535" t="s">
        <v>1556</v>
      </c>
      <c r="L535">
        <v>1925063</v>
      </c>
      <c r="M535">
        <v>1671454</v>
      </c>
      <c r="N535">
        <v>253609</v>
      </c>
      <c r="O535">
        <v>24</v>
      </c>
      <c r="P535" t="str">
        <f t="shared" si="17"/>
        <v>young</v>
      </c>
      <c r="Q535" t="s">
        <v>1559</v>
      </c>
      <c r="R535" t="s">
        <v>1562</v>
      </c>
      <c r="S535" t="s">
        <v>1568</v>
      </c>
      <c r="T535">
        <v>1874589</v>
      </c>
      <c r="U535">
        <v>3</v>
      </c>
      <c r="V535" t="s">
        <v>1585</v>
      </c>
      <c r="W535" t="s">
        <v>1594</v>
      </c>
      <c r="X535">
        <v>13.17</v>
      </c>
    </row>
    <row r="536" spans="1:24" x14ac:dyDescent="0.25">
      <c r="A536" t="s">
        <v>556</v>
      </c>
      <c r="B536" s="4">
        <v>45828</v>
      </c>
      <c r="C536" s="4" t="str">
        <f t="shared" si="16"/>
        <v>Jun</v>
      </c>
      <c r="D536" t="s">
        <v>1522</v>
      </c>
      <c r="E536" t="s">
        <v>1524</v>
      </c>
      <c r="F536" t="s">
        <v>1532</v>
      </c>
      <c r="G536" t="s">
        <v>1549</v>
      </c>
      <c r="H536" t="s">
        <v>1550</v>
      </c>
      <c r="I536">
        <v>2023</v>
      </c>
      <c r="J536" t="s">
        <v>1554</v>
      </c>
      <c r="K536" t="s">
        <v>1557</v>
      </c>
      <c r="L536">
        <v>1465302</v>
      </c>
      <c r="M536">
        <v>1193542</v>
      </c>
      <c r="N536">
        <v>271760</v>
      </c>
      <c r="O536">
        <v>60</v>
      </c>
      <c r="P536" t="str">
        <f t="shared" si="17"/>
        <v>senior</v>
      </c>
      <c r="Q536" t="s">
        <v>1560</v>
      </c>
      <c r="R536" t="s">
        <v>1561</v>
      </c>
      <c r="S536" t="s">
        <v>1567</v>
      </c>
      <c r="T536">
        <v>2187829</v>
      </c>
      <c r="U536">
        <v>5</v>
      </c>
      <c r="V536" t="s">
        <v>1584</v>
      </c>
      <c r="W536" t="s">
        <v>1592</v>
      </c>
      <c r="X536">
        <v>18.55</v>
      </c>
    </row>
    <row r="537" spans="1:24" x14ac:dyDescent="0.25">
      <c r="A537" t="s">
        <v>557</v>
      </c>
      <c r="B537" s="4">
        <v>46172</v>
      </c>
      <c r="C537" s="4" t="str">
        <f t="shared" si="16"/>
        <v>May</v>
      </c>
      <c r="D537" t="s">
        <v>1522</v>
      </c>
      <c r="E537" t="s">
        <v>1523</v>
      </c>
      <c r="F537" t="s">
        <v>1536</v>
      </c>
      <c r="G537" t="s">
        <v>1543</v>
      </c>
      <c r="H537" t="s">
        <v>4</v>
      </c>
      <c r="I537">
        <v>2024</v>
      </c>
      <c r="J537" t="s">
        <v>1554</v>
      </c>
      <c r="K537" t="s">
        <v>1557</v>
      </c>
      <c r="L537">
        <v>1247369</v>
      </c>
      <c r="M537">
        <v>1128461</v>
      </c>
      <c r="N537">
        <v>118908</v>
      </c>
      <c r="O537">
        <v>34</v>
      </c>
      <c r="P537" t="str">
        <f t="shared" si="17"/>
        <v>adult</v>
      </c>
      <c r="Q537" t="s">
        <v>1558</v>
      </c>
      <c r="R537" t="s">
        <v>1563</v>
      </c>
      <c r="S537" t="s">
        <v>1568</v>
      </c>
      <c r="T537">
        <v>1989294</v>
      </c>
      <c r="U537">
        <v>2</v>
      </c>
      <c r="V537" t="s">
        <v>1590</v>
      </c>
      <c r="W537" t="s">
        <v>1592</v>
      </c>
      <c r="X537">
        <v>9.5299999999999994</v>
      </c>
    </row>
    <row r="538" spans="1:24" x14ac:dyDescent="0.25">
      <c r="A538" t="s">
        <v>558</v>
      </c>
      <c r="B538" s="4">
        <v>46094</v>
      </c>
      <c r="C538" s="4" t="str">
        <f t="shared" si="16"/>
        <v>Mar</v>
      </c>
      <c r="D538" t="s">
        <v>1522</v>
      </c>
      <c r="E538" t="s">
        <v>1523</v>
      </c>
      <c r="F538" t="s">
        <v>1533</v>
      </c>
      <c r="G538" t="s">
        <v>1545</v>
      </c>
      <c r="H538" t="s">
        <v>1551</v>
      </c>
      <c r="I538">
        <v>2024</v>
      </c>
      <c r="J538" t="s">
        <v>1554</v>
      </c>
      <c r="K538" t="s">
        <v>1556</v>
      </c>
      <c r="L538">
        <v>992487</v>
      </c>
      <c r="M538">
        <v>947024</v>
      </c>
      <c r="N538">
        <v>45463</v>
      </c>
      <c r="O538">
        <v>40</v>
      </c>
      <c r="P538" t="str">
        <f t="shared" si="17"/>
        <v>adult</v>
      </c>
      <c r="Q538" t="s">
        <v>1558</v>
      </c>
      <c r="R538" t="s">
        <v>1565</v>
      </c>
      <c r="S538" t="s">
        <v>1567</v>
      </c>
      <c r="T538">
        <v>1825685</v>
      </c>
      <c r="U538">
        <v>5</v>
      </c>
      <c r="V538" t="s">
        <v>1586</v>
      </c>
      <c r="W538" t="s">
        <v>1591</v>
      </c>
      <c r="X538">
        <v>4.58</v>
      </c>
    </row>
    <row r="539" spans="1:24" x14ac:dyDescent="0.25">
      <c r="A539" t="s">
        <v>559</v>
      </c>
      <c r="B539" s="4">
        <v>46059</v>
      </c>
      <c r="C539" s="4" t="str">
        <f t="shared" si="16"/>
        <v>Feb</v>
      </c>
      <c r="D539" t="s">
        <v>1522</v>
      </c>
      <c r="E539" t="s">
        <v>1526</v>
      </c>
      <c r="F539" t="s">
        <v>1537</v>
      </c>
      <c r="G539" t="s">
        <v>1546</v>
      </c>
      <c r="H539" t="s">
        <v>4</v>
      </c>
      <c r="I539">
        <v>2025</v>
      </c>
      <c r="J539" t="s">
        <v>1554</v>
      </c>
      <c r="K539" t="s">
        <v>1556</v>
      </c>
      <c r="L539">
        <v>1650749</v>
      </c>
      <c r="M539">
        <v>1485001</v>
      </c>
      <c r="N539">
        <v>165748</v>
      </c>
      <c r="O539">
        <v>64</v>
      </c>
      <c r="P539" t="str">
        <f t="shared" si="17"/>
        <v>senior</v>
      </c>
      <c r="Q539" t="s">
        <v>1559</v>
      </c>
      <c r="R539" t="s">
        <v>1564</v>
      </c>
      <c r="S539" t="s">
        <v>1567</v>
      </c>
      <c r="T539">
        <v>910210</v>
      </c>
      <c r="U539">
        <v>5</v>
      </c>
      <c r="V539" t="s">
        <v>1589</v>
      </c>
      <c r="W539" t="s">
        <v>1591</v>
      </c>
      <c r="X539">
        <v>10.039999999999999</v>
      </c>
    </row>
    <row r="540" spans="1:24" x14ac:dyDescent="0.25">
      <c r="A540" t="s">
        <v>560</v>
      </c>
      <c r="B540" s="4">
        <v>45962</v>
      </c>
      <c r="C540" s="4" t="str">
        <f t="shared" si="16"/>
        <v>Nov</v>
      </c>
      <c r="D540" t="s">
        <v>1522</v>
      </c>
      <c r="E540" t="s">
        <v>1526</v>
      </c>
      <c r="F540" t="s">
        <v>1528</v>
      </c>
      <c r="G540" t="s">
        <v>1543</v>
      </c>
      <c r="H540" t="s">
        <v>1550</v>
      </c>
      <c r="I540">
        <v>2023</v>
      </c>
      <c r="J540" t="s">
        <v>1553</v>
      </c>
      <c r="K540" t="s">
        <v>1557</v>
      </c>
      <c r="L540">
        <v>1425190</v>
      </c>
      <c r="M540">
        <v>1253770</v>
      </c>
      <c r="N540">
        <v>171420</v>
      </c>
      <c r="O540">
        <v>57</v>
      </c>
      <c r="P540" t="str">
        <f t="shared" si="17"/>
        <v>senior</v>
      </c>
      <c r="Q540" t="s">
        <v>1558</v>
      </c>
      <c r="R540" t="s">
        <v>1561</v>
      </c>
      <c r="S540" t="s">
        <v>1569</v>
      </c>
      <c r="T540">
        <v>1903478</v>
      </c>
      <c r="U540">
        <v>3</v>
      </c>
      <c r="V540" t="s">
        <v>1583</v>
      </c>
      <c r="W540" t="s">
        <v>1593</v>
      </c>
      <c r="X540">
        <v>12.03</v>
      </c>
    </row>
    <row r="541" spans="1:24" x14ac:dyDescent="0.25">
      <c r="A541" t="s">
        <v>561</v>
      </c>
      <c r="B541" s="4">
        <v>45728</v>
      </c>
      <c r="C541" s="4" t="str">
        <f t="shared" si="16"/>
        <v>Mar</v>
      </c>
      <c r="D541" t="s">
        <v>1522</v>
      </c>
      <c r="E541" t="s">
        <v>1524</v>
      </c>
      <c r="F541" t="s">
        <v>1537</v>
      </c>
      <c r="G541" t="s">
        <v>1546</v>
      </c>
      <c r="H541" t="s">
        <v>1551</v>
      </c>
      <c r="I541">
        <v>2025</v>
      </c>
      <c r="J541" t="s">
        <v>1554</v>
      </c>
      <c r="K541" t="s">
        <v>1556</v>
      </c>
      <c r="L541">
        <v>955581</v>
      </c>
      <c r="M541">
        <v>913466</v>
      </c>
      <c r="N541">
        <v>42115</v>
      </c>
      <c r="O541">
        <v>36</v>
      </c>
      <c r="P541" t="str">
        <f t="shared" si="17"/>
        <v>adult</v>
      </c>
      <c r="Q541" t="s">
        <v>1559</v>
      </c>
      <c r="R541" t="s">
        <v>1564</v>
      </c>
      <c r="S541" t="s">
        <v>1568</v>
      </c>
      <c r="T541">
        <v>257608</v>
      </c>
      <c r="U541">
        <v>5</v>
      </c>
      <c r="V541" t="s">
        <v>1588</v>
      </c>
      <c r="W541" t="s">
        <v>1591</v>
      </c>
      <c r="X541">
        <v>4.41</v>
      </c>
    </row>
    <row r="542" spans="1:24" x14ac:dyDescent="0.25">
      <c r="A542" t="s">
        <v>562</v>
      </c>
      <c r="B542" s="4">
        <v>45906</v>
      </c>
      <c r="C542" s="4" t="str">
        <f t="shared" si="16"/>
        <v>Sep</v>
      </c>
      <c r="D542" t="s">
        <v>1522</v>
      </c>
      <c r="E542" t="s">
        <v>1523</v>
      </c>
      <c r="F542" t="s">
        <v>1533</v>
      </c>
      <c r="G542" t="s">
        <v>1541</v>
      </c>
      <c r="H542" t="s">
        <v>1551</v>
      </c>
      <c r="I542">
        <v>2025</v>
      </c>
      <c r="J542" t="s">
        <v>1554</v>
      </c>
      <c r="K542" t="s">
        <v>1557</v>
      </c>
      <c r="L542">
        <v>1056275</v>
      </c>
      <c r="M542">
        <v>947883</v>
      </c>
      <c r="N542">
        <v>108392</v>
      </c>
      <c r="O542">
        <v>43</v>
      </c>
      <c r="P542" t="str">
        <f t="shared" si="17"/>
        <v>adult</v>
      </c>
      <c r="Q542" t="s">
        <v>1558</v>
      </c>
      <c r="R542" t="s">
        <v>1563</v>
      </c>
      <c r="S542" t="s">
        <v>1568</v>
      </c>
      <c r="T542">
        <v>1789153</v>
      </c>
      <c r="U542">
        <v>3</v>
      </c>
      <c r="V542" t="s">
        <v>1577</v>
      </c>
      <c r="W542" t="s">
        <v>1594</v>
      </c>
      <c r="X542">
        <v>10.26</v>
      </c>
    </row>
    <row r="543" spans="1:24" x14ac:dyDescent="0.25">
      <c r="A543" t="s">
        <v>563</v>
      </c>
      <c r="B543" s="4">
        <v>45741</v>
      </c>
      <c r="C543" s="4" t="str">
        <f t="shared" si="16"/>
        <v>Mar</v>
      </c>
      <c r="D543" t="s">
        <v>1522</v>
      </c>
      <c r="E543" t="s">
        <v>1524</v>
      </c>
      <c r="F543" t="s">
        <v>1533</v>
      </c>
      <c r="G543" t="s">
        <v>1545</v>
      </c>
      <c r="H543" t="s">
        <v>1550</v>
      </c>
      <c r="I543">
        <v>2023</v>
      </c>
      <c r="J543" t="s">
        <v>1554</v>
      </c>
      <c r="K543" t="s">
        <v>1556</v>
      </c>
      <c r="L543">
        <v>1176358</v>
      </c>
      <c r="M543">
        <v>1104879</v>
      </c>
      <c r="N543">
        <v>71479</v>
      </c>
      <c r="O543">
        <v>45</v>
      </c>
      <c r="P543" t="str">
        <f t="shared" si="17"/>
        <v>adult</v>
      </c>
      <c r="Q543" t="s">
        <v>1559</v>
      </c>
      <c r="R543" t="s">
        <v>1565</v>
      </c>
      <c r="S543" t="s">
        <v>1570</v>
      </c>
      <c r="T543">
        <v>1993292</v>
      </c>
      <c r="U543">
        <v>1</v>
      </c>
      <c r="V543" t="s">
        <v>1588</v>
      </c>
      <c r="W543" t="s">
        <v>1591</v>
      </c>
      <c r="X543">
        <v>6.08</v>
      </c>
    </row>
    <row r="544" spans="1:24" x14ac:dyDescent="0.25">
      <c r="A544" t="s">
        <v>564</v>
      </c>
      <c r="B544" s="4">
        <v>45697</v>
      </c>
      <c r="C544" s="4" t="str">
        <f t="shared" si="16"/>
        <v>Feb</v>
      </c>
      <c r="D544" t="s">
        <v>1522</v>
      </c>
      <c r="E544" t="s">
        <v>1524</v>
      </c>
      <c r="F544" t="s">
        <v>1534</v>
      </c>
      <c r="G544" t="s">
        <v>1548</v>
      </c>
      <c r="H544" t="s">
        <v>1550</v>
      </c>
      <c r="I544">
        <v>2024</v>
      </c>
      <c r="J544" t="s">
        <v>1554</v>
      </c>
      <c r="K544" t="s">
        <v>1556</v>
      </c>
      <c r="L544">
        <v>1447900</v>
      </c>
      <c r="M544">
        <v>1376292</v>
      </c>
      <c r="N544">
        <v>71608</v>
      </c>
      <c r="O544">
        <v>63</v>
      </c>
      <c r="P544" t="str">
        <f t="shared" si="17"/>
        <v>senior</v>
      </c>
      <c r="Q544" t="s">
        <v>1558</v>
      </c>
      <c r="R544" t="s">
        <v>1564</v>
      </c>
      <c r="S544" t="s">
        <v>1567</v>
      </c>
      <c r="T544">
        <v>877353</v>
      </c>
      <c r="U544">
        <v>4</v>
      </c>
      <c r="V544" t="s">
        <v>1578</v>
      </c>
      <c r="W544" t="s">
        <v>1591</v>
      </c>
      <c r="X544">
        <v>4.95</v>
      </c>
    </row>
    <row r="545" spans="1:24" x14ac:dyDescent="0.25">
      <c r="A545" t="s">
        <v>565</v>
      </c>
      <c r="B545" s="4">
        <v>45664</v>
      </c>
      <c r="C545" s="4" t="str">
        <f t="shared" si="16"/>
        <v>Jan</v>
      </c>
      <c r="D545" t="s">
        <v>1522</v>
      </c>
      <c r="E545" t="s">
        <v>1526</v>
      </c>
      <c r="F545" t="s">
        <v>1533</v>
      </c>
      <c r="G545" t="s">
        <v>1546</v>
      </c>
      <c r="H545" t="s">
        <v>4</v>
      </c>
      <c r="I545">
        <v>2022</v>
      </c>
      <c r="J545" t="s">
        <v>1554</v>
      </c>
      <c r="K545" t="s">
        <v>1557</v>
      </c>
      <c r="L545">
        <v>1304184</v>
      </c>
      <c r="M545">
        <v>1089719</v>
      </c>
      <c r="N545">
        <v>214465</v>
      </c>
      <c r="O545">
        <v>49</v>
      </c>
      <c r="P545" t="str">
        <f t="shared" si="17"/>
        <v>adult</v>
      </c>
      <c r="Q545" t="s">
        <v>1559</v>
      </c>
      <c r="R545" t="s">
        <v>1563</v>
      </c>
      <c r="S545" t="s">
        <v>1567</v>
      </c>
      <c r="T545">
        <v>2187314</v>
      </c>
      <c r="U545">
        <v>4</v>
      </c>
      <c r="V545" t="s">
        <v>1571</v>
      </c>
      <c r="W545" t="s">
        <v>1591</v>
      </c>
      <c r="X545">
        <v>16.440000000000001</v>
      </c>
    </row>
    <row r="546" spans="1:24" x14ac:dyDescent="0.25">
      <c r="A546" t="s">
        <v>566</v>
      </c>
      <c r="B546" s="4">
        <v>46100</v>
      </c>
      <c r="C546" s="4" t="str">
        <f t="shared" si="16"/>
        <v>Mar</v>
      </c>
      <c r="D546" t="s">
        <v>1522</v>
      </c>
      <c r="E546" t="s">
        <v>1524</v>
      </c>
      <c r="F546" t="s">
        <v>1533</v>
      </c>
      <c r="G546" t="s">
        <v>1538</v>
      </c>
      <c r="H546" t="s">
        <v>1550</v>
      </c>
      <c r="I546">
        <v>2025</v>
      </c>
      <c r="J546" t="s">
        <v>1554</v>
      </c>
      <c r="K546" t="s">
        <v>1556</v>
      </c>
      <c r="L546">
        <v>1188066</v>
      </c>
      <c r="M546">
        <v>1106504</v>
      </c>
      <c r="N546">
        <v>81562</v>
      </c>
      <c r="O546">
        <v>65</v>
      </c>
      <c r="P546" t="str">
        <f t="shared" si="17"/>
        <v>senior</v>
      </c>
      <c r="Q546" t="s">
        <v>1559</v>
      </c>
      <c r="R546" t="s">
        <v>1563</v>
      </c>
      <c r="S546" t="s">
        <v>1568</v>
      </c>
      <c r="T546">
        <v>765767</v>
      </c>
      <c r="U546">
        <v>5</v>
      </c>
      <c r="V546" t="s">
        <v>1586</v>
      </c>
      <c r="W546" t="s">
        <v>1591</v>
      </c>
      <c r="X546">
        <v>6.87</v>
      </c>
    </row>
    <row r="547" spans="1:24" x14ac:dyDescent="0.25">
      <c r="A547" t="s">
        <v>567</v>
      </c>
      <c r="B547" s="4">
        <v>46095</v>
      </c>
      <c r="C547" s="4" t="str">
        <f t="shared" si="16"/>
        <v>Mar</v>
      </c>
      <c r="D547" t="s">
        <v>1522</v>
      </c>
      <c r="E547" t="s">
        <v>1524</v>
      </c>
      <c r="F547" t="s">
        <v>1535</v>
      </c>
      <c r="G547" t="s">
        <v>1541</v>
      </c>
      <c r="H547" t="s">
        <v>1551</v>
      </c>
      <c r="I547">
        <v>2025</v>
      </c>
      <c r="J547" t="s">
        <v>1554</v>
      </c>
      <c r="K547" t="s">
        <v>1556</v>
      </c>
      <c r="L547">
        <v>889149</v>
      </c>
      <c r="M547">
        <v>838949</v>
      </c>
      <c r="N547">
        <v>50200</v>
      </c>
      <c r="O547">
        <v>54</v>
      </c>
      <c r="P547" t="str">
        <f t="shared" si="17"/>
        <v>senior</v>
      </c>
      <c r="Q547" t="s">
        <v>1559</v>
      </c>
      <c r="R547" t="s">
        <v>1561</v>
      </c>
      <c r="S547" t="s">
        <v>1568</v>
      </c>
      <c r="T547">
        <v>1847072</v>
      </c>
      <c r="U547">
        <v>4</v>
      </c>
      <c r="V547" t="s">
        <v>1586</v>
      </c>
      <c r="W547" t="s">
        <v>1591</v>
      </c>
      <c r="X547">
        <v>5.65</v>
      </c>
    </row>
    <row r="548" spans="1:24" x14ac:dyDescent="0.25">
      <c r="A548" t="s">
        <v>568</v>
      </c>
      <c r="B548" s="4">
        <v>45705</v>
      </c>
      <c r="C548" s="4" t="str">
        <f t="shared" si="16"/>
        <v>Feb</v>
      </c>
      <c r="D548" t="s">
        <v>1522</v>
      </c>
      <c r="E548" t="s">
        <v>1526</v>
      </c>
      <c r="F548" t="s">
        <v>1534</v>
      </c>
      <c r="G548" t="s">
        <v>1543</v>
      </c>
      <c r="H548" t="s">
        <v>4</v>
      </c>
      <c r="I548">
        <v>2025</v>
      </c>
      <c r="J548" t="s">
        <v>1554</v>
      </c>
      <c r="K548" t="s">
        <v>1557</v>
      </c>
      <c r="L548">
        <v>1357215</v>
      </c>
      <c r="M548">
        <v>1280101</v>
      </c>
      <c r="N548">
        <v>77114</v>
      </c>
      <c r="O548">
        <v>33</v>
      </c>
      <c r="P548" t="str">
        <f t="shared" si="17"/>
        <v>adult</v>
      </c>
      <c r="Q548" t="s">
        <v>1558</v>
      </c>
      <c r="R548" t="s">
        <v>1561</v>
      </c>
      <c r="S548" t="s">
        <v>1570</v>
      </c>
      <c r="T548">
        <v>998976</v>
      </c>
      <c r="U548">
        <v>1</v>
      </c>
      <c r="V548" t="s">
        <v>1578</v>
      </c>
      <c r="W548" t="s">
        <v>1591</v>
      </c>
      <c r="X548">
        <v>5.68</v>
      </c>
    </row>
    <row r="549" spans="1:24" x14ac:dyDescent="0.25">
      <c r="A549" t="s">
        <v>569</v>
      </c>
      <c r="B549" s="4">
        <v>45900</v>
      </c>
      <c r="C549" s="4" t="str">
        <f t="shared" si="16"/>
        <v>Aug</v>
      </c>
      <c r="D549" t="s">
        <v>1522</v>
      </c>
      <c r="E549" t="s">
        <v>1527</v>
      </c>
      <c r="F549" t="s">
        <v>1534</v>
      </c>
      <c r="G549" t="s">
        <v>1542</v>
      </c>
      <c r="H549" t="s">
        <v>4</v>
      </c>
      <c r="I549">
        <v>2025</v>
      </c>
      <c r="J549" t="s">
        <v>1554</v>
      </c>
      <c r="K549" t="s">
        <v>1556</v>
      </c>
      <c r="L549">
        <v>1157039</v>
      </c>
      <c r="M549">
        <v>1115115</v>
      </c>
      <c r="N549">
        <v>41924</v>
      </c>
      <c r="O549">
        <v>59</v>
      </c>
      <c r="P549" t="str">
        <f t="shared" si="17"/>
        <v>senior</v>
      </c>
      <c r="Q549" t="s">
        <v>1558</v>
      </c>
      <c r="R549" t="s">
        <v>1566</v>
      </c>
      <c r="S549" t="s">
        <v>1567</v>
      </c>
      <c r="T549">
        <v>1283140</v>
      </c>
      <c r="U549">
        <v>1</v>
      </c>
      <c r="V549" t="s">
        <v>1585</v>
      </c>
      <c r="W549" t="s">
        <v>1594</v>
      </c>
      <c r="X549">
        <v>3.62</v>
      </c>
    </row>
    <row r="550" spans="1:24" x14ac:dyDescent="0.25">
      <c r="A550" t="s">
        <v>570</v>
      </c>
      <c r="B550" s="4">
        <v>45881</v>
      </c>
      <c r="C550" s="4" t="str">
        <f t="shared" si="16"/>
        <v>Aug</v>
      </c>
      <c r="D550" t="s">
        <v>1522</v>
      </c>
      <c r="E550" t="s">
        <v>1527</v>
      </c>
      <c r="F550" t="s">
        <v>1529</v>
      </c>
      <c r="G550" t="s">
        <v>1540</v>
      </c>
      <c r="H550" t="s">
        <v>1551</v>
      </c>
      <c r="I550">
        <v>2026</v>
      </c>
      <c r="J550" t="s">
        <v>1554</v>
      </c>
      <c r="K550" t="s">
        <v>1556</v>
      </c>
      <c r="L550">
        <v>1070217</v>
      </c>
      <c r="M550">
        <v>980629</v>
      </c>
      <c r="N550">
        <v>89588</v>
      </c>
      <c r="O550">
        <v>21</v>
      </c>
      <c r="P550" t="str">
        <f t="shared" si="17"/>
        <v>young</v>
      </c>
      <c r="Q550" t="s">
        <v>1559</v>
      </c>
      <c r="R550" t="s">
        <v>1566</v>
      </c>
      <c r="S550" t="s">
        <v>1567</v>
      </c>
      <c r="T550">
        <v>1976542</v>
      </c>
      <c r="U550">
        <v>5</v>
      </c>
      <c r="V550" t="s">
        <v>1585</v>
      </c>
      <c r="W550" t="s">
        <v>1594</v>
      </c>
      <c r="X550">
        <v>8.3699999999999992</v>
      </c>
    </row>
    <row r="551" spans="1:24" x14ac:dyDescent="0.25">
      <c r="A551" t="s">
        <v>571</v>
      </c>
      <c r="B551" s="4">
        <v>46116</v>
      </c>
      <c r="C551" s="4" t="str">
        <f t="shared" si="16"/>
        <v>Apr</v>
      </c>
      <c r="D551" t="s">
        <v>1522</v>
      </c>
      <c r="E551" t="s">
        <v>1523</v>
      </c>
      <c r="F551" t="s">
        <v>1532</v>
      </c>
      <c r="G551" t="s">
        <v>1546</v>
      </c>
      <c r="H551" t="s">
        <v>1550</v>
      </c>
      <c r="I551">
        <v>2026</v>
      </c>
      <c r="J551" t="s">
        <v>1554</v>
      </c>
      <c r="K551" t="s">
        <v>1556</v>
      </c>
      <c r="L551">
        <v>1283882</v>
      </c>
      <c r="M551">
        <v>1057774</v>
      </c>
      <c r="N551">
        <v>226108</v>
      </c>
      <c r="O551">
        <v>59</v>
      </c>
      <c r="P551" t="str">
        <f t="shared" si="17"/>
        <v>senior</v>
      </c>
      <c r="Q551" t="s">
        <v>1558</v>
      </c>
      <c r="R551" t="s">
        <v>1564</v>
      </c>
      <c r="S551" t="s">
        <v>1568</v>
      </c>
      <c r="T551">
        <v>2002637</v>
      </c>
      <c r="U551">
        <v>3</v>
      </c>
      <c r="V551" t="s">
        <v>1580</v>
      </c>
      <c r="W551" t="s">
        <v>1592</v>
      </c>
      <c r="X551">
        <v>17.61</v>
      </c>
    </row>
    <row r="552" spans="1:24" x14ac:dyDescent="0.25">
      <c r="A552" t="s">
        <v>572</v>
      </c>
      <c r="B552" s="4">
        <v>46081</v>
      </c>
      <c r="C552" s="4" t="str">
        <f t="shared" si="16"/>
        <v>Feb</v>
      </c>
      <c r="D552" t="s">
        <v>1522</v>
      </c>
      <c r="E552" t="s">
        <v>1527</v>
      </c>
      <c r="F552" t="s">
        <v>1532</v>
      </c>
      <c r="G552" t="s">
        <v>1542</v>
      </c>
      <c r="H552" t="s">
        <v>1550</v>
      </c>
      <c r="I552">
        <v>2023</v>
      </c>
      <c r="J552" t="s">
        <v>1554</v>
      </c>
      <c r="K552" t="s">
        <v>1556</v>
      </c>
      <c r="L552">
        <v>1387358</v>
      </c>
      <c r="M552">
        <v>1180736</v>
      </c>
      <c r="N552">
        <v>206622</v>
      </c>
      <c r="O552">
        <v>27</v>
      </c>
      <c r="P552" t="str">
        <f t="shared" si="17"/>
        <v>young</v>
      </c>
      <c r="Q552" t="s">
        <v>1558</v>
      </c>
      <c r="R552" t="s">
        <v>1563</v>
      </c>
      <c r="S552" t="s">
        <v>1567</v>
      </c>
      <c r="T552">
        <v>1357614</v>
      </c>
      <c r="U552">
        <v>2</v>
      </c>
      <c r="V552" t="s">
        <v>1589</v>
      </c>
      <c r="W552" t="s">
        <v>1591</v>
      </c>
      <c r="X552">
        <v>14.89</v>
      </c>
    </row>
    <row r="553" spans="1:24" x14ac:dyDescent="0.25">
      <c r="A553" t="s">
        <v>573</v>
      </c>
      <c r="B553" s="4">
        <v>46041</v>
      </c>
      <c r="C553" s="4" t="str">
        <f t="shared" si="16"/>
        <v>Jan</v>
      </c>
      <c r="D553" t="s">
        <v>1522</v>
      </c>
      <c r="E553" t="s">
        <v>1523</v>
      </c>
      <c r="F553" t="s">
        <v>1535</v>
      </c>
      <c r="G553" t="s">
        <v>1548</v>
      </c>
      <c r="H553" t="s">
        <v>4</v>
      </c>
      <c r="I553">
        <v>2025</v>
      </c>
      <c r="J553" t="s">
        <v>1554</v>
      </c>
      <c r="K553" t="s">
        <v>1557</v>
      </c>
      <c r="L553">
        <v>1790410</v>
      </c>
      <c r="M553">
        <v>1619408</v>
      </c>
      <c r="N553">
        <v>171002</v>
      </c>
      <c r="O553">
        <v>47</v>
      </c>
      <c r="P553" t="str">
        <f t="shared" si="17"/>
        <v>adult</v>
      </c>
      <c r="Q553" t="s">
        <v>1558</v>
      </c>
      <c r="R553" t="s">
        <v>1564</v>
      </c>
      <c r="S553" t="s">
        <v>1570</v>
      </c>
      <c r="T553">
        <v>1993754</v>
      </c>
      <c r="U553">
        <v>2</v>
      </c>
      <c r="V553" t="s">
        <v>1581</v>
      </c>
      <c r="W553" t="s">
        <v>1591</v>
      </c>
      <c r="X553">
        <v>9.5500000000000007</v>
      </c>
    </row>
    <row r="554" spans="1:24" x14ac:dyDescent="0.25">
      <c r="A554" t="s">
        <v>574</v>
      </c>
      <c r="B554" s="4">
        <v>45873</v>
      </c>
      <c r="C554" s="4" t="str">
        <f t="shared" si="16"/>
        <v>Aug</v>
      </c>
      <c r="D554" t="s">
        <v>1522</v>
      </c>
      <c r="E554" t="s">
        <v>1525</v>
      </c>
      <c r="F554" t="s">
        <v>1529</v>
      </c>
      <c r="G554" t="s">
        <v>1544</v>
      </c>
      <c r="H554" t="s">
        <v>1551</v>
      </c>
      <c r="I554">
        <v>2025</v>
      </c>
      <c r="J554" t="s">
        <v>1554</v>
      </c>
      <c r="K554" t="s">
        <v>1556</v>
      </c>
      <c r="L554">
        <v>1044163</v>
      </c>
      <c r="M554">
        <v>863766</v>
      </c>
      <c r="N554">
        <v>180397</v>
      </c>
      <c r="O554">
        <v>49</v>
      </c>
      <c r="P554" t="str">
        <f t="shared" si="17"/>
        <v>adult</v>
      </c>
      <c r="Q554" t="s">
        <v>1558</v>
      </c>
      <c r="R554" t="s">
        <v>1563</v>
      </c>
      <c r="S554" t="s">
        <v>1568</v>
      </c>
      <c r="T554">
        <v>2080848</v>
      </c>
      <c r="U554">
        <v>4</v>
      </c>
      <c r="V554" t="s">
        <v>1585</v>
      </c>
      <c r="W554" t="s">
        <v>1594</v>
      </c>
      <c r="X554">
        <v>17.28</v>
      </c>
    </row>
    <row r="555" spans="1:24" x14ac:dyDescent="0.25">
      <c r="A555" t="s">
        <v>575</v>
      </c>
      <c r="B555" s="4">
        <v>45805</v>
      </c>
      <c r="C555" s="4" t="str">
        <f t="shared" si="16"/>
        <v>May</v>
      </c>
      <c r="D555" t="s">
        <v>1522</v>
      </c>
      <c r="E555" t="s">
        <v>1523</v>
      </c>
      <c r="F555" t="s">
        <v>1536</v>
      </c>
      <c r="G555" t="s">
        <v>1548</v>
      </c>
      <c r="H555" t="s">
        <v>1550</v>
      </c>
      <c r="I555">
        <v>2024</v>
      </c>
      <c r="J555" t="s">
        <v>1554</v>
      </c>
      <c r="K555" t="s">
        <v>1557</v>
      </c>
      <c r="L555">
        <v>1304409</v>
      </c>
      <c r="M555">
        <v>1170369</v>
      </c>
      <c r="N555">
        <v>134040</v>
      </c>
      <c r="O555">
        <v>23</v>
      </c>
      <c r="P555" t="str">
        <f t="shared" si="17"/>
        <v>young</v>
      </c>
      <c r="Q555" t="s">
        <v>1558</v>
      </c>
      <c r="R555" t="s">
        <v>1565</v>
      </c>
      <c r="S555" t="s">
        <v>1569</v>
      </c>
      <c r="T555">
        <v>1631395</v>
      </c>
      <c r="U555">
        <v>4</v>
      </c>
      <c r="V555" t="s">
        <v>1572</v>
      </c>
      <c r="W555" t="s">
        <v>1592</v>
      </c>
      <c r="X555">
        <v>10.28</v>
      </c>
    </row>
    <row r="556" spans="1:24" x14ac:dyDescent="0.25">
      <c r="A556" t="s">
        <v>576</v>
      </c>
      <c r="B556" s="4">
        <v>45783</v>
      </c>
      <c r="C556" s="4" t="str">
        <f t="shared" si="16"/>
        <v>May</v>
      </c>
      <c r="D556" t="s">
        <v>1522</v>
      </c>
      <c r="E556" t="s">
        <v>1525</v>
      </c>
      <c r="F556" t="s">
        <v>1537</v>
      </c>
      <c r="G556" t="s">
        <v>1544</v>
      </c>
      <c r="H556" t="s">
        <v>1551</v>
      </c>
      <c r="I556">
        <v>2024</v>
      </c>
      <c r="J556" t="s">
        <v>1554</v>
      </c>
      <c r="K556" t="s">
        <v>1557</v>
      </c>
      <c r="L556">
        <v>894682</v>
      </c>
      <c r="M556">
        <v>764251</v>
      </c>
      <c r="N556">
        <v>130431</v>
      </c>
      <c r="O556">
        <v>65</v>
      </c>
      <c r="P556" t="str">
        <f t="shared" si="17"/>
        <v>senior</v>
      </c>
      <c r="Q556" t="s">
        <v>1558</v>
      </c>
      <c r="R556" t="s">
        <v>1565</v>
      </c>
      <c r="S556" t="s">
        <v>1567</v>
      </c>
      <c r="T556">
        <v>1393097</v>
      </c>
      <c r="U556">
        <v>2</v>
      </c>
      <c r="V556" t="s">
        <v>1572</v>
      </c>
      <c r="W556" t="s">
        <v>1592</v>
      </c>
      <c r="X556">
        <v>14.58</v>
      </c>
    </row>
    <row r="557" spans="1:24" x14ac:dyDescent="0.25">
      <c r="A557" t="s">
        <v>577</v>
      </c>
      <c r="B557" s="4">
        <v>45910</v>
      </c>
      <c r="C557" s="4" t="str">
        <f t="shared" si="16"/>
        <v>Sep</v>
      </c>
      <c r="D557" t="s">
        <v>1522</v>
      </c>
      <c r="E557" t="s">
        <v>1523</v>
      </c>
      <c r="F557" t="s">
        <v>1529</v>
      </c>
      <c r="G557" t="s">
        <v>1549</v>
      </c>
      <c r="H557" t="s">
        <v>1550</v>
      </c>
      <c r="I557">
        <v>2023</v>
      </c>
      <c r="J557" t="s">
        <v>1554</v>
      </c>
      <c r="K557" t="s">
        <v>1556</v>
      </c>
      <c r="L557">
        <v>1452724</v>
      </c>
      <c r="M557">
        <v>1283372</v>
      </c>
      <c r="N557">
        <v>169352</v>
      </c>
      <c r="O557">
        <v>62</v>
      </c>
      <c r="P557" t="str">
        <f t="shared" si="17"/>
        <v>senior</v>
      </c>
      <c r="Q557" t="s">
        <v>1559</v>
      </c>
      <c r="R557" t="s">
        <v>1565</v>
      </c>
      <c r="S557" t="s">
        <v>1567</v>
      </c>
      <c r="T557">
        <v>1650428</v>
      </c>
      <c r="U557">
        <v>1</v>
      </c>
      <c r="V557" t="s">
        <v>1577</v>
      </c>
      <c r="W557" t="s">
        <v>1594</v>
      </c>
      <c r="X557">
        <v>11.66</v>
      </c>
    </row>
    <row r="558" spans="1:24" x14ac:dyDescent="0.25">
      <c r="A558" t="s">
        <v>578</v>
      </c>
      <c r="B558" s="4">
        <v>45676</v>
      </c>
      <c r="C558" s="4" t="str">
        <f t="shared" si="16"/>
        <v>Jan</v>
      </c>
      <c r="D558" t="s">
        <v>1522</v>
      </c>
      <c r="E558" t="s">
        <v>1523</v>
      </c>
      <c r="F558" t="s">
        <v>1533</v>
      </c>
      <c r="G558" t="s">
        <v>1549</v>
      </c>
      <c r="H558" t="s">
        <v>1551</v>
      </c>
      <c r="I558">
        <v>2025</v>
      </c>
      <c r="J558" t="s">
        <v>1554</v>
      </c>
      <c r="K558" t="s">
        <v>1557</v>
      </c>
      <c r="L558">
        <v>983343</v>
      </c>
      <c r="M558">
        <v>933080</v>
      </c>
      <c r="N558">
        <v>50263</v>
      </c>
      <c r="O558">
        <v>36</v>
      </c>
      <c r="P558" t="str">
        <f t="shared" si="17"/>
        <v>adult</v>
      </c>
      <c r="Q558" t="s">
        <v>1559</v>
      </c>
      <c r="R558" t="s">
        <v>1561</v>
      </c>
      <c r="S558" t="s">
        <v>1570</v>
      </c>
      <c r="T558">
        <v>1428342</v>
      </c>
      <c r="U558">
        <v>5</v>
      </c>
      <c r="V558" t="s">
        <v>1571</v>
      </c>
      <c r="W558" t="s">
        <v>1591</v>
      </c>
      <c r="X558">
        <v>5.1100000000000003</v>
      </c>
    </row>
    <row r="559" spans="1:24" x14ac:dyDescent="0.25">
      <c r="A559" t="s">
        <v>579</v>
      </c>
      <c r="B559" s="4">
        <v>46202</v>
      </c>
      <c r="C559" s="4" t="str">
        <f t="shared" si="16"/>
        <v>Jun</v>
      </c>
      <c r="D559" t="s">
        <v>1522</v>
      </c>
      <c r="E559" t="s">
        <v>1525</v>
      </c>
      <c r="F559" t="s">
        <v>1534</v>
      </c>
      <c r="G559" t="s">
        <v>1549</v>
      </c>
      <c r="H559" t="s">
        <v>4</v>
      </c>
      <c r="I559">
        <v>2022</v>
      </c>
      <c r="J559" t="s">
        <v>1554</v>
      </c>
      <c r="K559" t="s">
        <v>1556</v>
      </c>
      <c r="L559">
        <v>1635116</v>
      </c>
      <c r="M559">
        <v>1544100</v>
      </c>
      <c r="N559">
        <v>91016</v>
      </c>
      <c r="O559">
        <v>54</v>
      </c>
      <c r="P559" t="str">
        <f t="shared" si="17"/>
        <v>senior</v>
      </c>
      <c r="Q559" t="s">
        <v>1558</v>
      </c>
      <c r="R559" t="s">
        <v>1562</v>
      </c>
      <c r="S559" t="s">
        <v>1567</v>
      </c>
      <c r="T559">
        <v>1177</v>
      </c>
      <c r="U559">
        <v>1</v>
      </c>
      <c r="V559" t="s">
        <v>1582</v>
      </c>
      <c r="W559" t="s">
        <v>1592</v>
      </c>
      <c r="X559">
        <v>5.57</v>
      </c>
    </row>
    <row r="560" spans="1:24" x14ac:dyDescent="0.25">
      <c r="A560" t="s">
        <v>580</v>
      </c>
      <c r="B560" s="4">
        <v>45972</v>
      </c>
      <c r="C560" s="4" t="str">
        <f t="shared" si="16"/>
        <v>Nov</v>
      </c>
      <c r="D560" t="s">
        <v>1522</v>
      </c>
      <c r="E560" t="s">
        <v>1523</v>
      </c>
      <c r="F560" t="s">
        <v>1534</v>
      </c>
      <c r="G560" t="s">
        <v>1546</v>
      </c>
      <c r="H560" t="s">
        <v>1551</v>
      </c>
      <c r="I560">
        <v>2025</v>
      </c>
      <c r="J560" t="s">
        <v>1554</v>
      </c>
      <c r="K560" t="s">
        <v>1557</v>
      </c>
      <c r="L560">
        <v>851709</v>
      </c>
      <c r="M560">
        <v>767805</v>
      </c>
      <c r="N560">
        <v>83904</v>
      </c>
      <c r="O560">
        <v>41</v>
      </c>
      <c r="P560" t="str">
        <f t="shared" si="17"/>
        <v>adult</v>
      </c>
      <c r="Q560" t="s">
        <v>1560</v>
      </c>
      <c r="R560" t="s">
        <v>1561</v>
      </c>
      <c r="S560" t="s">
        <v>1570</v>
      </c>
      <c r="T560">
        <v>1612703</v>
      </c>
      <c r="U560">
        <v>3</v>
      </c>
      <c r="V560" t="s">
        <v>1583</v>
      </c>
      <c r="W560" t="s">
        <v>1593</v>
      </c>
      <c r="X560">
        <v>9.85</v>
      </c>
    </row>
    <row r="561" spans="1:24" x14ac:dyDescent="0.25">
      <c r="A561" t="s">
        <v>581</v>
      </c>
      <c r="B561" s="4">
        <v>45812</v>
      </c>
      <c r="C561" s="4" t="str">
        <f t="shared" si="16"/>
        <v>Jun</v>
      </c>
      <c r="D561" t="s">
        <v>1522</v>
      </c>
      <c r="E561" t="s">
        <v>1523</v>
      </c>
      <c r="F561" t="s">
        <v>1530</v>
      </c>
      <c r="G561" t="s">
        <v>1548</v>
      </c>
      <c r="H561" t="s">
        <v>1551</v>
      </c>
      <c r="I561">
        <v>2026</v>
      </c>
      <c r="J561" t="s">
        <v>1554</v>
      </c>
      <c r="K561" t="s">
        <v>1557</v>
      </c>
      <c r="L561">
        <v>1054397</v>
      </c>
      <c r="M561">
        <v>1004392</v>
      </c>
      <c r="N561">
        <v>50005</v>
      </c>
      <c r="O561">
        <v>47</v>
      </c>
      <c r="P561" t="str">
        <f t="shared" si="17"/>
        <v>adult</v>
      </c>
      <c r="Q561" t="s">
        <v>1558</v>
      </c>
      <c r="R561" t="s">
        <v>1566</v>
      </c>
      <c r="S561" t="s">
        <v>1569</v>
      </c>
      <c r="T561">
        <v>1907160</v>
      </c>
      <c r="U561">
        <v>2</v>
      </c>
      <c r="V561" t="s">
        <v>1584</v>
      </c>
      <c r="W561" t="s">
        <v>1592</v>
      </c>
      <c r="X561">
        <v>4.74</v>
      </c>
    </row>
    <row r="562" spans="1:24" x14ac:dyDescent="0.25">
      <c r="A562" t="s">
        <v>582</v>
      </c>
      <c r="B562" s="4">
        <v>45990</v>
      </c>
      <c r="C562" s="4" t="str">
        <f t="shared" si="16"/>
        <v>Nov</v>
      </c>
      <c r="D562" t="s">
        <v>1522</v>
      </c>
      <c r="E562" t="s">
        <v>1523</v>
      </c>
      <c r="F562" t="s">
        <v>1529</v>
      </c>
      <c r="G562" t="s">
        <v>1549</v>
      </c>
      <c r="H562" t="s">
        <v>1550</v>
      </c>
      <c r="I562">
        <v>2025</v>
      </c>
      <c r="J562" t="s">
        <v>1554</v>
      </c>
      <c r="K562" t="s">
        <v>1556</v>
      </c>
      <c r="L562">
        <v>1415896</v>
      </c>
      <c r="M562">
        <v>1281207</v>
      </c>
      <c r="N562">
        <v>134689</v>
      </c>
      <c r="O562">
        <v>22</v>
      </c>
      <c r="P562" t="str">
        <f t="shared" si="17"/>
        <v>young</v>
      </c>
      <c r="Q562" t="s">
        <v>1558</v>
      </c>
      <c r="R562" t="s">
        <v>1565</v>
      </c>
      <c r="S562" t="s">
        <v>1569</v>
      </c>
      <c r="T562">
        <v>173978</v>
      </c>
      <c r="U562">
        <v>2</v>
      </c>
      <c r="V562" t="s">
        <v>1583</v>
      </c>
      <c r="W562" t="s">
        <v>1593</v>
      </c>
      <c r="X562">
        <v>9.51</v>
      </c>
    </row>
    <row r="563" spans="1:24" x14ac:dyDescent="0.25">
      <c r="A563" t="s">
        <v>583</v>
      </c>
      <c r="B563" s="4">
        <v>45902</v>
      </c>
      <c r="C563" s="4" t="str">
        <f t="shared" si="16"/>
        <v>Sep</v>
      </c>
      <c r="D563" t="s">
        <v>1522</v>
      </c>
      <c r="E563" t="s">
        <v>1526</v>
      </c>
      <c r="F563" t="s">
        <v>1536</v>
      </c>
      <c r="G563" t="s">
        <v>1545</v>
      </c>
      <c r="H563" t="s">
        <v>4</v>
      </c>
      <c r="I563">
        <v>2023</v>
      </c>
      <c r="J563" t="s">
        <v>1554</v>
      </c>
      <c r="K563" t="s">
        <v>1556</v>
      </c>
      <c r="L563">
        <v>1430877</v>
      </c>
      <c r="M563">
        <v>1314186</v>
      </c>
      <c r="N563">
        <v>116691</v>
      </c>
      <c r="O563">
        <v>36</v>
      </c>
      <c r="P563" t="str">
        <f t="shared" si="17"/>
        <v>adult</v>
      </c>
      <c r="Q563" t="s">
        <v>1559</v>
      </c>
      <c r="R563" t="s">
        <v>1565</v>
      </c>
      <c r="S563" t="s">
        <v>1570</v>
      </c>
      <c r="T563">
        <v>160750</v>
      </c>
      <c r="U563">
        <v>1</v>
      </c>
      <c r="V563" t="s">
        <v>1577</v>
      </c>
      <c r="W563" t="s">
        <v>1594</v>
      </c>
      <c r="X563">
        <v>8.16</v>
      </c>
    </row>
    <row r="564" spans="1:24" x14ac:dyDescent="0.25">
      <c r="A564" t="s">
        <v>584</v>
      </c>
      <c r="B564" s="4">
        <v>46026</v>
      </c>
      <c r="C564" s="4" t="str">
        <f t="shared" si="16"/>
        <v>Jan</v>
      </c>
      <c r="D564" t="s">
        <v>1522</v>
      </c>
      <c r="E564" t="s">
        <v>1525</v>
      </c>
      <c r="F564" t="s">
        <v>1534</v>
      </c>
      <c r="G564" t="s">
        <v>1541</v>
      </c>
      <c r="H564" t="s">
        <v>4</v>
      </c>
      <c r="I564">
        <v>2026</v>
      </c>
      <c r="J564" t="s">
        <v>1554</v>
      </c>
      <c r="K564" t="s">
        <v>1557</v>
      </c>
      <c r="L564">
        <v>1529716</v>
      </c>
      <c r="M564">
        <v>1307061</v>
      </c>
      <c r="N564">
        <v>222655</v>
      </c>
      <c r="O564">
        <v>55</v>
      </c>
      <c r="P564" t="str">
        <f t="shared" si="17"/>
        <v>senior</v>
      </c>
      <c r="Q564" t="s">
        <v>1559</v>
      </c>
      <c r="R564" t="s">
        <v>1561</v>
      </c>
      <c r="S564" t="s">
        <v>1568</v>
      </c>
      <c r="T564">
        <v>563762</v>
      </c>
      <c r="U564">
        <v>4</v>
      </c>
      <c r="V564" t="s">
        <v>1581</v>
      </c>
      <c r="W564" t="s">
        <v>1591</v>
      </c>
      <c r="X564">
        <v>14.56</v>
      </c>
    </row>
    <row r="565" spans="1:24" x14ac:dyDescent="0.25">
      <c r="A565" t="s">
        <v>585</v>
      </c>
      <c r="B565" s="4">
        <v>45832</v>
      </c>
      <c r="C565" s="4" t="str">
        <f t="shared" si="16"/>
        <v>Jun</v>
      </c>
      <c r="D565" t="s">
        <v>1522</v>
      </c>
      <c r="E565" t="s">
        <v>1523</v>
      </c>
      <c r="F565" t="s">
        <v>1530</v>
      </c>
      <c r="G565" t="s">
        <v>1545</v>
      </c>
      <c r="H565" t="s">
        <v>1550</v>
      </c>
      <c r="I565">
        <v>2025</v>
      </c>
      <c r="J565" t="s">
        <v>1554</v>
      </c>
      <c r="K565" t="s">
        <v>1557</v>
      </c>
      <c r="L565">
        <v>1311514</v>
      </c>
      <c r="M565">
        <v>1114041</v>
      </c>
      <c r="N565">
        <v>197473</v>
      </c>
      <c r="O565">
        <v>37</v>
      </c>
      <c r="P565" t="str">
        <f t="shared" si="17"/>
        <v>adult</v>
      </c>
      <c r="Q565" t="s">
        <v>1558</v>
      </c>
      <c r="R565" t="s">
        <v>1561</v>
      </c>
      <c r="S565" t="s">
        <v>1570</v>
      </c>
      <c r="T565">
        <v>1291994</v>
      </c>
      <c r="U565">
        <v>4</v>
      </c>
      <c r="V565" t="s">
        <v>1584</v>
      </c>
      <c r="W565" t="s">
        <v>1592</v>
      </c>
      <c r="X565">
        <v>15.06</v>
      </c>
    </row>
    <row r="566" spans="1:24" x14ac:dyDescent="0.25">
      <c r="A566" t="s">
        <v>586</v>
      </c>
      <c r="B566" s="4">
        <v>45796</v>
      </c>
      <c r="C566" s="4" t="str">
        <f t="shared" si="16"/>
        <v>May</v>
      </c>
      <c r="D566" t="s">
        <v>1522</v>
      </c>
      <c r="E566" t="s">
        <v>1527</v>
      </c>
      <c r="F566" t="s">
        <v>1531</v>
      </c>
      <c r="G566" t="s">
        <v>1549</v>
      </c>
      <c r="H566" t="s">
        <v>1551</v>
      </c>
      <c r="I566">
        <v>2025</v>
      </c>
      <c r="J566" t="s">
        <v>1554</v>
      </c>
      <c r="K566" t="s">
        <v>1557</v>
      </c>
      <c r="L566">
        <v>924005</v>
      </c>
      <c r="M566">
        <v>772469</v>
      </c>
      <c r="N566">
        <v>151536</v>
      </c>
      <c r="O566">
        <v>48</v>
      </c>
      <c r="P566" t="str">
        <f t="shared" si="17"/>
        <v>adult</v>
      </c>
      <c r="Q566" t="s">
        <v>1559</v>
      </c>
      <c r="R566" t="s">
        <v>1563</v>
      </c>
      <c r="S566" t="s">
        <v>1567</v>
      </c>
      <c r="T566">
        <v>2172122</v>
      </c>
      <c r="U566">
        <v>2</v>
      </c>
      <c r="V566" t="s">
        <v>1572</v>
      </c>
      <c r="W566" t="s">
        <v>1592</v>
      </c>
      <c r="X566">
        <v>16.399999999999999</v>
      </c>
    </row>
    <row r="567" spans="1:24" x14ac:dyDescent="0.25">
      <c r="A567" t="s">
        <v>587</v>
      </c>
      <c r="B567" s="4">
        <v>46199</v>
      </c>
      <c r="C567" s="4" t="str">
        <f t="shared" si="16"/>
        <v>Jun</v>
      </c>
      <c r="D567" t="s">
        <v>1522</v>
      </c>
      <c r="E567" t="s">
        <v>1525</v>
      </c>
      <c r="F567" t="s">
        <v>1529</v>
      </c>
      <c r="G567" t="s">
        <v>1541</v>
      </c>
      <c r="H567" t="s">
        <v>1551</v>
      </c>
      <c r="I567">
        <v>2024</v>
      </c>
      <c r="J567" t="s">
        <v>1554</v>
      </c>
      <c r="K567" t="s">
        <v>1557</v>
      </c>
      <c r="L567">
        <v>934808</v>
      </c>
      <c r="M567">
        <v>863562</v>
      </c>
      <c r="N567">
        <v>71246</v>
      </c>
      <c r="O567">
        <v>43</v>
      </c>
      <c r="P567" t="str">
        <f t="shared" si="17"/>
        <v>adult</v>
      </c>
      <c r="Q567" t="s">
        <v>1559</v>
      </c>
      <c r="R567" t="s">
        <v>1562</v>
      </c>
      <c r="S567" t="s">
        <v>1567</v>
      </c>
      <c r="T567">
        <v>160859</v>
      </c>
      <c r="U567">
        <v>4</v>
      </c>
      <c r="V567" t="s">
        <v>1582</v>
      </c>
      <c r="W567" t="s">
        <v>1592</v>
      </c>
      <c r="X567">
        <v>7.62</v>
      </c>
    </row>
    <row r="568" spans="1:24" x14ac:dyDescent="0.25">
      <c r="A568" t="s">
        <v>588</v>
      </c>
      <c r="B568" s="4">
        <v>45931</v>
      </c>
      <c r="C568" s="4" t="str">
        <f t="shared" si="16"/>
        <v>Oct</v>
      </c>
      <c r="D568" t="s">
        <v>1522</v>
      </c>
      <c r="E568" t="s">
        <v>1523</v>
      </c>
      <c r="F568" t="s">
        <v>1532</v>
      </c>
      <c r="G568" t="s">
        <v>1548</v>
      </c>
      <c r="H568" t="s">
        <v>1552</v>
      </c>
      <c r="I568">
        <v>2026</v>
      </c>
      <c r="J568" t="s">
        <v>1555</v>
      </c>
      <c r="K568" t="s">
        <v>1556</v>
      </c>
      <c r="L568">
        <v>1889974</v>
      </c>
      <c r="M568">
        <v>1530628</v>
      </c>
      <c r="N568">
        <v>359346</v>
      </c>
      <c r="O568">
        <v>36</v>
      </c>
      <c r="P568" t="str">
        <f t="shared" si="17"/>
        <v>adult</v>
      </c>
      <c r="Q568" t="s">
        <v>1558</v>
      </c>
      <c r="R568" t="s">
        <v>1565</v>
      </c>
      <c r="S568" t="s">
        <v>1567</v>
      </c>
      <c r="T568">
        <v>682641</v>
      </c>
      <c r="U568">
        <v>1</v>
      </c>
      <c r="V568" t="s">
        <v>1574</v>
      </c>
      <c r="W568" t="s">
        <v>1593</v>
      </c>
      <c r="X568">
        <v>19.010000000000002</v>
      </c>
    </row>
    <row r="569" spans="1:24" x14ac:dyDescent="0.25">
      <c r="A569" t="s">
        <v>589</v>
      </c>
      <c r="B569" s="4">
        <v>45685</v>
      </c>
      <c r="C569" s="4" t="str">
        <f t="shared" si="16"/>
        <v>Jan</v>
      </c>
      <c r="D569" t="s">
        <v>1522</v>
      </c>
      <c r="E569" t="s">
        <v>1524</v>
      </c>
      <c r="F569" t="s">
        <v>1537</v>
      </c>
      <c r="G569" t="s">
        <v>1545</v>
      </c>
      <c r="H569" t="s">
        <v>1550</v>
      </c>
      <c r="I569">
        <v>2025</v>
      </c>
      <c r="J569" t="s">
        <v>1554</v>
      </c>
      <c r="K569" t="s">
        <v>1556</v>
      </c>
      <c r="L569">
        <v>1733668</v>
      </c>
      <c r="M569">
        <v>1461503</v>
      </c>
      <c r="N569">
        <v>272165</v>
      </c>
      <c r="O569">
        <v>26</v>
      </c>
      <c r="P569" t="str">
        <f t="shared" si="17"/>
        <v>young</v>
      </c>
      <c r="Q569" t="s">
        <v>1558</v>
      </c>
      <c r="R569" t="s">
        <v>1564</v>
      </c>
      <c r="S569" t="s">
        <v>1567</v>
      </c>
      <c r="T569">
        <v>1591866</v>
      </c>
      <c r="U569">
        <v>3</v>
      </c>
      <c r="V569" t="s">
        <v>1571</v>
      </c>
      <c r="W569" t="s">
        <v>1591</v>
      </c>
      <c r="X569">
        <v>15.7</v>
      </c>
    </row>
    <row r="570" spans="1:24" x14ac:dyDescent="0.25">
      <c r="A570" t="s">
        <v>590</v>
      </c>
      <c r="B570" s="4">
        <v>46183</v>
      </c>
      <c r="C570" s="4" t="str">
        <f t="shared" si="16"/>
        <v>Jun</v>
      </c>
      <c r="D570" t="s">
        <v>1522</v>
      </c>
      <c r="E570" t="s">
        <v>1525</v>
      </c>
      <c r="F570" t="s">
        <v>1536</v>
      </c>
      <c r="G570" t="s">
        <v>1548</v>
      </c>
      <c r="H570" t="s">
        <v>1550</v>
      </c>
      <c r="I570">
        <v>2023</v>
      </c>
      <c r="J570" t="s">
        <v>1554</v>
      </c>
      <c r="K570" t="s">
        <v>1556</v>
      </c>
      <c r="L570">
        <v>1175810</v>
      </c>
      <c r="M570">
        <v>1086933</v>
      </c>
      <c r="N570">
        <v>88877</v>
      </c>
      <c r="O570">
        <v>49</v>
      </c>
      <c r="P570" t="str">
        <f t="shared" si="17"/>
        <v>adult</v>
      </c>
      <c r="Q570" t="s">
        <v>1558</v>
      </c>
      <c r="R570" t="s">
        <v>1563</v>
      </c>
      <c r="S570" t="s">
        <v>1568</v>
      </c>
      <c r="T570">
        <v>1015055</v>
      </c>
      <c r="U570">
        <v>2</v>
      </c>
      <c r="V570" t="s">
        <v>1582</v>
      </c>
      <c r="W570" t="s">
        <v>1592</v>
      </c>
      <c r="X570">
        <v>7.56</v>
      </c>
    </row>
    <row r="571" spans="1:24" x14ac:dyDescent="0.25">
      <c r="A571" t="s">
        <v>591</v>
      </c>
      <c r="B571" s="4">
        <v>45765</v>
      </c>
      <c r="C571" s="4" t="str">
        <f t="shared" si="16"/>
        <v>Apr</v>
      </c>
      <c r="D571" t="s">
        <v>1522</v>
      </c>
      <c r="E571" t="s">
        <v>1527</v>
      </c>
      <c r="F571" t="s">
        <v>1535</v>
      </c>
      <c r="G571" t="s">
        <v>1543</v>
      </c>
      <c r="H571" t="s">
        <v>1552</v>
      </c>
      <c r="I571">
        <v>2024</v>
      </c>
      <c r="J571" t="s">
        <v>1555</v>
      </c>
      <c r="K571" t="s">
        <v>1556</v>
      </c>
      <c r="L571">
        <v>1889370</v>
      </c>
      <c r="M571">
        <v>1571804</v>
      </c>
      <c r="N571">
        <v>317566</v>
      </c>
      <c r="O571">
        <v>49</v>
      </c>
      <c r="P571" t="str">
        <f t="shared" si="17"/>
        <v>adult</v>
      </c>
      <c r="Q571" t="s">
        <v>1559</v>
      </c>
      <c r="R571" t="s">
        <v>1565</v>
      </c>
      <c r="S571" t="s">
        <v>1568</v>
      </c>
      <c r="T571">
        <v>601603</v>
      </c>
      <c r="U571">
        <v>3</v>
      </c>
      <c r="V571" t="s">
        <v>1573</v>
      </c>
      <c r="W571" t="s">
        <v>1592</v>
      </c>
      <c r="X571">
        <v>16.809999999999999</v>
      </c>
    </row>
    <row r="572" spans="1:24" x14ac:dyDescent="0.25">
      <c r="A572" t="s">
        <v>592</v>
      </c>
      <c r="B572" s="4">
        <v>45935</v>
      </c>
      <c r="C572" s="4" t="str">
        <f t="shared" si="16"/>
        <v>Oct</v>
      </c>
      <c r="D572" t="s">
        <v>1522</v>
      </c>
      <c r="E572" t="s">
        <v>1526</v>
      </c>
      <c r="F572" t="s">
        <v>1528</v>
      </c>
      <c r="G572" t="s">
        <v>1540</v>
      </c>
      <c r="H572" t="s">
        <v>1550</v>
      </c>
      <c r="I572">
        <v>2023</v>
      </c>
      <c r="J572" t="s">
        <v>1554</v>
      </c>
      <c r="K572" t="s">
        <v>1557</v>
      </c>
      <c r="L572">
        <v>1191933</v>
      </c>
      <c r="M572">
        <v>1005840</v>
      </c>
      <c r="N572">
        <v>186093</v>
      </c>
      <c r="O572">
        <v>64</v>
      </c>
      <c r="P572" t="str">
        <f t="shared" si="17"/>
        <v>senior</v>
      </c>
      <c r="Q572" t="s">
        <v>1558</v>
      </c>
      <c r="R572" t="s">
        <v>1564</v>
      </c>
      <c r="S572" t="s">
        <v>1567</v>
      </c>
      <c r="T572">
        <v>787309</v>
      </c>
      <c r="U572">
        <v>1</v>
      </c>
      <c r="V572" t="s">
        <v>1574</v>
      </c>
      <c r="W572" t="s">
        <v>1593</v>
      </c>
      <c r="X572">
        <v>15.61</v>
      </c>
    </row>
    <row r="573" spans="1:24" x14ac:dyDescent="0.25">
      <c r="A573" t="s">
        <v>593</v>
      </c>
      <c r="B573" s="4">
        <v>45851</v>
      </c>
      <c r="C573" s="4" t="str">
        <f t="shared" si="16"/>
        <v>Jul</v>
      </c>
      <c r="D573" t="s">
        <v>1522</v>
      </c>
      <c r="E573" t="s">
        <v>1524</v>
      </c>
      <c r="F573" t="s">
        <v>1535</v>
      </c>
      <c r="G573" t="s">
        <v>1544</v>
      </c>
      <c r="H573" t="s">
        <v>1552</v>
      </c>
      <c r="I573">
        <v>2022</v>
      </c>
      <c r="J573" t="s">
        <v>1555</v>
      </c>
      <c r="K573" t="s">
        <v>1556</v>
      </c>
      <c r="L573">
        <v>2076705</v>
      </c>
      <c r="M573">
        <v>1756847</v>
      </c>
      <c r="N573">
        <v>319858</v>
      </c>
      <c r="O573">
        <v>35</v>
      </c>
      <c r="P573" t="str">
        <f t="shared" si="17"/>
        <v>adult</v>
      </c>
      <c r="Q573" t="s">
        <v>1559</v>
      </c>
      <c r="R573" t="s">
        <v>1566</v>
      </c>
      <c r="S573" t="s">
        <v>1570</v>
      </c>
      <c r="T573">
        <v>1399520</v>
      </c>
      <c r="U573">
        <v>1</v>
      </c>
      <c r="V573" t="s">
        <v>1579</v>
      </c>
      <c r="W573" t="s">
        <v>1594</v>
      </c>
      <c r="X573">
        <v>15.4</v>
      </c>
    </row>
    <row r="574" spans="1:24" x14ac:dyDescent="0.25">
      <c r="A574" t="s">
        <v>594</v>
      </c>
      <c r="B574" s="4">
        <v>46048</v>
      </c>
      <c r="C574" s="4" t="str">
        <f t="shared" si="16"/>
        <v>Jan</v>
      </c>
      <c r="D574" t="s">
        <v>1522</v>
      </c>
      <c r="E574" t="s">
        <v>1524</v>
      </c>
      <c r="F574" t="s">
        <v>1534</v>
      </c>
      <c r="G574" t="s">
        <v>1539</v>
      </c>
      <c r="H574" t="s">
        <v>1550</v>
      </c>
      <c r="I574">
        <v>2022</v>
      </c>
      <c r="J574" t="s">
        <v>1553</v>
      </c>
      <c r="K574" t="s">
        <v>1557</v>
      </c>
      <c r="L574">
        <v>1593028</v>
      </c>
      <c r="M574">
        <v>1313941</v>
      </c>
      <c r="N574">
        <v>279087</v>
      </c>
      <c r="O574">
        <v>43</v>
      </c>
      <c r="P574" t="str">
        <f t="shared" si="17"/>
        <v>adult</v>
      </c>
      <c r="Q574" t="s">
        <v>1559</v>
      </c>
      <c r="R574" t="s">
        <v>1561</v>
      </c>
      <c r="S574" t="s">
        <v>1568</v>
      </c>
      <c r="T574">
        <v>1634549</v>
      </c>
      <c r="U574">
        <v>5</v>
      </c>
      <c r="V574" t="s">
        <v>1581</v>
      </c>
      <c r="W574" t="s">
        <v>1591</v>
      </c>
      <c r="X574">
        <v>17.52</v>
      </c>
    </row>
    <row r="575" spans="1:24" x14ac:dyDescent="0.25">
      <c r="A575" t="s">
        <v>595</v>
      </c>
      <c r="B575" s="4">
        <v>45987</v>
      </c>
      <c r="C575" s="4" t="str">
        <f t="shared" si="16"/>
        <v>Nov</v>
      </c>
      <c r="D575" t="s">
        <v>1522</v>
      </c>
      <c r="E575" t="s">
        <v>1523</v>
      </c>
      <c r="F575" t="s">
        <v>1532</v>
      </c>
      <c r="G575" t="s">
        <v>1547</v>
      </c>
      <c r="H575" t="s">
        <v>1551</v>
      </c>
      <c r="I575">
        <v>2023</v>
      </c>
      <c r="J575" t="s">
        <v>1554</v>
      </c>
      <c r="K575" t="s">
        <v>1557</v>
      </c>
      <c r="L575">
        <v>767122</v>
      </c>
      <c r="M575">
        <v>695898</v>
      </c>
      <c r="N575">
        <v>71224</v>
      </c>
      <c r="O575">
        <v>23</v>
      </c>
      <c r="P575" t="str">
        <f t="shared" si="17"/>
        <v>young</v>
      </c>
      <c r="Q575" t="s">
        <v>1558</v>
      </c>
      <c r="R575" t="s">
        <v>1563</v>
      </c>
      <c r="S575" t="s">
        <v>1568</v>
      </c>
      <c r="T575">
        <v>892664</v>
      </c>
      <c r="U575">
        <v>5</v>
      </c>
      <c r="V575" t="s">
        <v>1583</v>
      </c>
      <c r="W575" t="s">
        <v>1593</v>
      </c>
      <c r="X575">
        <v>9.2799999999999994</v>
      </c>
    </row>
    <row r="576" spans="1:24" x14ac:dyDescent="0.25">
      <c r="A576" t="s">
        <v>596</v>
      </c>
      <c r="B576" s="4">
        <v>45917</v>
      </c>
      <c r="C576" s="4" t="str">
        <f t="shared" si="16"/>
        <v>Sep</v>
      </c>
      <c r="D576" t="s">
        <v>1522</v>
      </c>
      <c r="E576" t="s">
        <v>1524</v>
      </c>
      <c r="F576" t="s">
        <v>1537</v>
      </c>
      <c r="G576" t="s">
        <v>1544</v>
      </c>
      <c r="H576" t="s">
        <v>4</v>
      </c>
      <c r="I576">
        <v>2026</v>
      </c>
      <c r="J576" t="s">
        <v>1554</v>
      </c>
      <c r="K576" t="s">
        <v>1557</v>
      </c>
      <c r="L576">
        <v>1478883</v>
      </c>
      <c r="M576">
        <v>1406644</v>
      </c>
      <c r="N576">
        <v>72239</v>
      </c>
      <c r="O576">
        <v>22</v>
      </c>
      <c r="P576" t="str">
        <f t="shared" si="17"/>
        <v>young</v>
      </c>
      <c r="Q576" t="s">
        <v>1558</v>
      </c>
      <c r="R576" t="s">
        <v>1563</v>
      </c>
      <c r="S576" t="s">
        <v>1568</v>
      </c>
      <c r="T576">
        <v>1516935</v>
      </c>
      <c r="U576">
        <v>1</v>
      </c>
      <c r="V576" t="s">
        <v>1577</v>
      </c>
      <c r="W576" t="s">
        <v>1594</v>
      </c>
      <c r="X576">
        <v>4.88</v>
      </c>
    </row>
    <row r="577" spans="1:24" x14ac:dyDescent="0.25">
      <c r="A577" t="s">
        <v>597</v>
      </c>
      <c r="B577" s="4">
        <v>46085</v>
      </c>
      <c r="C577" s="4" t="str">
        <f t="shared" si="16"/>
        <v>Mar</v>
      </c>
      <c r="D577" t="s">
        <v>1522</v>
      </c>
      <c r="E577" t="s">
        <v>1524</v>
      </c>
      <c r="F577" t="s">
        <v>1537</v>
      </c>
      <c r="G577" t="s">
        <v>1547</v>
      </c>
      <c r="H577" t="s">
        <v>4</v>
      </c>
      <c r="I577">
        <v>2025</v>
      </c>
      <c r="J577" t="s">
        <v>1554</v>
      </c>
      <c r="K577" t="s">
        <v>1557</v>
      </c>
      <c r="L577">
        <v>1544505</v>
      </c>
      <c r="M577">
        <v>1342315</v>
      </c>
      <c r="N577">
        <v>202190</v>
      </c>
      <c r="O577">
        <v>30</v>
      </c>
      <c r="P577" t="str">
        <f t="shared" si="17"/>
        <v>young</v>
      </c>
      <c r="Q577" t="s">
        <v>1558</v>
      </c>
      <c r="R577" t="s">
        <v>1561</v>
      </c>
      <c r="S577" t="s">
        <v>1567</v>
      </c>
      <c r="T577">
        <v>1225443</v>
      </c>
      <c r="U577">
        <v>4</v>
      </c>
      <c r="V577" t="s">
        <v>1586</v>
      </c>
      <c r="W577" t="s">
        <v>1591</v>
      </c>
      <c r="X577">
        <v>13.09</v>
      </c>
    </row>
    <row r="578" spans="1:24" x14ac:dyDescent="0.25">
      <c r="A578" t="s">
        <v>598</v>
      </c>
      <c r="B578" s="4">
        <v>45685</v>
      </c>
      <c r="C578" s="4" t="str">
        <f t="shared" si="16"/>
        <v>Jan</v>
      </c>
      <c r="D578" t="s">
        <v>1522</v>
      </c>
      <c r="E578" t="s">
        <v>1523</v>
      </c>
      <c r="F578" t="s">
        <v>1529</v>
      </c>
      <c r="G578" t="s">
        <v>1540</v>
      </c>
      <c r="H578" t="s">
        <v>1551</v>
      </c>
      <c r="I578">
        <v>2024</v>
      </c>
      <c r="J578" t="s">
        <v>1554</v>
      </c>
      <c r="K578" t="s">
        <v>1557</v>
      </c>
      <c r="L578">
        <v>1034886</v>
      </c>
      <c r="M578">
        <v>850835</v>
      </c>
      <c r="N578">
        <v>184051</v>
      </c>
      <c r="O578">
        <v>25</v>
      </c>
      <c r="P578" t="str">
        <f t="shared" si="17"/>
        <v>young</v>
      </c>
      <c r="Q578" t="s">
        <v>1559</v>
      </c>
      <c r="R578" t="s">
        <v>1563</v>
      </c>
      <c r="S578" t="s">
        <v>1568</v>
      </c>
      <c r="T578">
        <v>719664</v>
      </c>
      <c r="U578">
        <v>2</v>
      </c>
      <c r="V578" t="s">
        <v>1571</v>
      </c>
      <c r="W578" t="s">
        <v>1591</v>
      </c>
      <c r="X578">
        <v>17.78</v>
      </c>
    </row>
    <row r="579" spans="1:24" x14ac:dyDescent="0.25">
      <c r="A579" t="s">
        <v>599</v>
      </c>
      <c r="B579" s="4">
        <v>45669</v>
      </c>
      <c r="C579" s="4" t="str">
        <f t="shared" ref="C579:C642" si="18">TEXT(B579,"MMM")</f>
        <v>Jan</v>
      </c>
      <c r="D579" t="s">
        <v>1522</v>
      </c>
      <c r="E579" t="s">
        <v>1524</v>
      </c>
      <c r="F579" t="s">
        <v>1533</v>
      </c>
      <c r="G579" t="s">
        <v>1539</v>
      </c>
      <c r="H579" t="s">
        <v>4</v>
      </c>
      <c r="I579">
        <v>2025</v>
      </c>
      <c r="J579" t="s">
        <v>1554</v>
      </c>
      <c r="K579" t="s">
        <v>1556</v>
      </c>
      <c r="L579">
        <v>1304920</v>
      </c>
      <c r="M579">
        <v>1115171</v>
      </c>
      <c r="N579">
        <v>189749</v>
      </c>
      <c r="O579">
        <v>28</v>
      </c>
      <c r="P579" t="str">
        <f t="shared" ref="P579:P642" si="19">IF(O579&gt;50,"senior",IF(O579&gt;30,"adult","young"))</f>
        <v>young</v>
      </c>
      <c r="Q579" t="s">
        <v>1558</v>
      </c>
      <c r="R579" t="s">
        <v>1561</v>
      </c>
      <c r="S579" t="s">
        <v>1567</v>
      </c>
      <c r="T579">
        <v>1085646</v>
      </c>
      <c r="U579">
        <v>3</v>
      </c>
      <c r="V579" t="s">
        <v>1571</v>
      </c>
      <c r="W579" t="s">
        <v>1591</v>
      </c>
      <c r="X579">
        <v>14.54</v>
      </c>
    </row>
    <row r="580" spans="1:24" x14ac:dyDescent="0.25">
      <c r="A580" t="s">
        <v>600</v>
      </c>
      <c r="B580" s="4">
        <v>46124</v>
      </c>
      <c r="C580" s="4" t="str">
        <f t="shared" si="18"/>
        <v>Apr</v>
      </c>
      <c r="D580" t="s">
        <v>1522</v>
      </c>
      <c r="E580" t="s">
        <v>1527</v>
      </c>
      <c r="F580" t="s">
        <v>1534</v>
      </c>
      <c r="G580" t="s">
        <v>1541</v>
      </c>
      <c r="H580" t="s">
        <v>4</v>
      </c>
      <c r="I580">
        <v>2026</v>
      </c>
      <c r="J580" t="s">
        <v>1554</v>
      </c>
      <c r="K580" t="s">
        <v>1557</v>
      </c>
      <c r="L580">
        <v>1588971</v>
      </c>
      <c r="M580">
        <v>1435806</v>
      </c>
      <c r="N580">
        <v>153165</v>
      </c>
      <c r="O580">
        <v>48</v>
      </c>
      <c r="P580" t="str">
        <f t="shared" si="19"/>
        <v>adult</v>
      </c>
      <c r="Q580" t="s">
        <v>1558</v>
      </c>
      <c r="R580" t="s">
        <v>1566</v>
      </c>
      <c r="S580" t="s">
        <v>1567</v>
      </c>
      <c r="T580">
        <v>1464328</v>
      </c>
      <c r="U580">
        <v>3</v>
      </c>
      <c r="V580" t="s">
        <v>1580</v>
      </c>
      <c r="W580" t="s">
        <v>1592</v>
      </c>
      <c r="X580">
        <v>9.64</v>
      </c>
    </row>
    <row r="581" spans="1:24" x14ac:dyDescent="0.25">
      <c r="A581" t="s">
        <v>601</v>
      </c>
      <c r="B581" s="4">
        <v>45698</v>
      </c>
      <c r="C581" s="4" t="str">
        <f t="shared" si="18"/>
        <v>Feb</v>
      </c>
      <c r="D581" t="s">
        <v>1522</v>
      </c>
      <c r="E581" t="s">
        <v>1526</v>
      </c>
      <c r="F581" t="s">
        <v>1537</v>
      </c>
      <c r="G581" t="s">
        <v>1541</v>
      </c>
      <c r="H581" t="s">
        <v>1550</v>
      </c>
      <c r="I581">
        <v>2024</v>
      </c>
      <c r="J581" t="s">
        <v>1554</v>
      </c>
      <c r="K581" t="s">
        <v>1556</v>
      </c>
      <c r="L581">
        <v>1397146</v>
      </c>
      <c r="M581">
        <v>1215159</v>
      </c>
      <c r="N581">
        <v>181987</v>
      </c>
      <c r="O581">
        <v>23</v>
      </c>
      <c r="P581" t="str">
        <f t="shared" si="19"/>
        <v>young</v>
      </c>
      <c r="Q581" t="s">
        <v>1559</v>
      </c>
      <c r="R581" t="s">
        <v>1564</v>
      </c>
      <c r="S581" t="s">
        <v>1567</v>
      </c>
      <c r="T581">
        <v>1568459</v>
      </c>
      <c r="U581">
        <v>3</v>
      </c>
      <c r="V581" t="s">
        <v>1578</v>
      </c>
      <c r="W581" t="s">
        <v>1591</v>
      </c>
      <c r="X581">
        <v>13.03</v>
      </c>
    </row>
    <row r="582" spans="1:24" x14ac:dyDescent="0.25">
      <c r="A582" t="s">
        <v>602</v>
      </c>
      <c r="B582" s="4">
        <v>45780</v>
      </c>
      <c r="C582" s="4" t="str">
        <f t="shared" si="18"/>
        <v>May</v>
      </c>
      <c r="D582" t="s">
        <v>1522</v>
      </c>
      <c r="E582" t="s">
        <v>1523</v>
      </c>
      <c r="F582" t="s">
        <v>1533</v>
      </c>
      <c r="G582" t="s">
        <v>1548</v>
      </c>
      <c r="H582" t="s">
        <v>1550</v>
      </c>
      <c r="I582">
        <v>2024</v>
      </c>
      <c r="J582" t="s">
        <v>1554</v>
      </c>
      <c r="K582" t="s">
        <v>1556</v>
      </c>
      <c r="L582">
        <v>1332093</v>
      </c>
      <c r="M582">
        <v>1077770</v>
      </c>
      <c r="N582">
        <v>254323</v>
      </c>
      <c r="O582">
        <v>50</v>
      </c>
      <c r="P582" t="str">
        <f t="shared" si="19"/>
        <v>adult</v>
      </c>
      <c r="Q582" t="s">
        <v>1558</v>
      </c>
      <c r="R582" t="s">
        <v>1565</v>
      </c>
      <c r="S582" t="s">
        <v>1568</v>
      </c>
      <c r="T582">
        <v>58813</v>
      </c>
      <c r="U582">
        <v>4</v>
      </c>
      <c r="V582" t="s">
        <v>1572</v>
      </c>
      <c r="W582" t="s">
        <v>1592</v>
      </c>
      <c r="X582">
        <v>19.09</v>
      </c>
    </row>
    <row r="583" spans="1:24" x14ac:dyDescent="0.25">
      <c r="A583" t="s">
        <v>603</v>
      </c>
      <c r="B583" s="4">
        <v>45939</v>
      </c>
      <c r="C583" s="4" t="str">
        <f t="shared" si="18"/>
        <v>Oct</v>
      </c>
      <c r="D583" t="s">
        <v>1522</v>
      </c>
      <c r="E583" t="s">
        <v>1526</v>
      </c>
      <c r="F583" t="s">
        <v>1536</v>
      </c>
      <c r="G583" t="s">
        <v>1541</v>
      </c>
      <c r="H583" t="s">
        <v>4</v>
      </c>
      <c r="I583">
        <v>2023</v>
      </c>
      <c r="J583" t="s">
        <v>1554</v>
      </c>
      <c r="K583" t="s">
        <v>1556</v>
      </c>
      <c r="L583">
        <v>1562395</v>
      </c>
      <c r="M583">
        <v>1417090</v>
      </c>
      <c r="N583">
        <v>145305</v>
      </c>
      <c r="O583">
        <v>25</v>
      </c>
      <c r="P583" t="str">
        <f t="shared" si="19"/>
        <v>young</v>
      </c>
      <c r="Q583" t="s">
        <v>1559</v>
      </c>
      <c r="R583" t="s">
        <v>1561</v>
      </c>
      <c r="S583" t="s">
        <v>1570</v>
      </c>
      <c r="T583">
        <v>1506366</v>
      </c>
      <c r="U583">
        <v>4</v>
      </c>
      <c r="V583" t="s">
        <v>1574</v>
      </c>
      <c r="W583" t="s">
        <v>1593</v>
      </c>
      <c r="X583">
        <v>9.3000000000000007</v>
      </c>
    </row>
    <row r="584" spans="1:24" x14ac:dyDescent="0.25">
      <c r="A584" t="s">
        <v>604</v>
      </c>
      <c r="B584" s="4">
        <v>45791</v>
      </c>
      <c r="C584" s="4" t="str">
        <f t="shared" si="18"/>
        <v>May</v>
      </c>
      <c r="D584" t="s">
        <v>1522</v>
      </c>
      <c r="E584" t="s">
        <v>1525</v>
      </c>
      <c r="F584" t="s">
        <v>1533</v>
      </c>
      <c r="G584" t="s">
        <v>1546</v>
      </c>
      <c r="H584" t="s">
        <v>4</v>
      </c>
      <c r="I584">
        <v>2023</v>
      </c>
      <c r="J584" t="s">
        <v>1554</v>
      </c>
      <c r="K584" t="s">
        <v>1556</v>
      </c>
      <c r="L584">
        <v>1734083</v>
      </c>
      <c r="M584">
        <v>1563607</v>
      </c>
      <c r="N584">
        <v>170476</v>
      </c>
      <c r="O584">
        <v>36</v>
      </c>
      <c r="P584" t="str">
        <f t="shared" si="19"/>
        <v>adult</v>
      </c>
      <c r="Q584" t="s">
        <v>1558</v>
      </c>
      <c r="R584" t="s">
        <v>1566</v>
      </c>
      <c r="S584" t="s">
        <v>1567</v>
      </c>
      <c r="T584">
        <v>827759</v>
      </c>
      <c r="U584">
        <v>1</v>
      </c>
      <c r="V584" t="s">
        <v>1572</v>
      </c>
      <c r="W584" t="s">
        <v>1592</v>
      </c>
      <c r="X584">
        <v>9.83</v>
      </c>
    </row>
    <row r="585" spans="1:24" x14ac:dyDescent="0.25">
      <c r="A585" t="s">
        <v>605</v>
      </c>
      <c r="B585" s="4">
        <v>45779</v>
      </c>
      <c r="C585" s="4" t="str">
        <f t="shared" si="18"/>
        <v>May</v>
      </c>
      <c r="D585" t="s">
        <v>1522</v>
      </c>
      <c r="E585" t="s">
        <v>1527</v>
      </c>
      <c r="F585" t="s">
        <v>1533</v>
      </c>
      <c r="G585" t="s">
        <v>1541</v>
      </c>
      <c r="H585" t="s">
        <v>1551</v>
      </c>
      <c r="I585">
        <v>2022</v>
      </c>
      <c r="J585" t="s">
        <v>1554</v>
      </c>
      <c r="K585" t="s">
        <v>1556</v>
      </c>
      <c r="L585">
        <v>924704</v>
      </c>
      <c r="M585">
        <v>875596</v>
      </c>
      <c r="N585">
        <v>49108</v>
      </c>
      <c r="O585">
        <v>62</v>
      </c>
      <c r="P585" t="str">
        <f t="shared" si="19"/>
        <v>senior</v>
      </c>
      <c r="Q585" t="s">
        <v>1558</v>
      </c>
      <c r="R585" t="s">
        <v>1565</v>
      </c>
      <c r="S585" t="s">
        <v>1567</v>
      </c>
      <c r="T585">
        <v>2057290</v>
      </c>
      <c r="U585">
        <v>2</v>
      </c>
      <c r="V585" t="s">
        <v>1572</v>
      </c>
      <c r="W585" t="s">
        <v>1592</v>
      </c>
      <c r="X585">
        <v>5.31</v>
      </c>
    </row>
    <row r="586" spans="1:24" x14ac:dyDescent="0.25">
      <c r="A586" t="s">
        <v>606</v>
      </c>
      <c r="B586" s="4">
        <v>46026</v>
      </c>
      <c r="C586" s="4" t="str">
        <f t="shared" si="18"/>
        <v>Jan</v>
      </c>
      <c r="D586" t="s">
        <v>1522</v>
      </c>
      <c r="E586" t="s">
        <v>1523</v>
      </c>
      <c r="F586" t="s">
        <v>1532</v>
      </c>
      <c r="G586" t="s">
        <v>1545</v>
      </c>
      <c r="H586" t="s">
        <v>1551</v>
      </c>
      <c r="I586">
        <v>2025</v>
      </c>
      <c r="J586" t="s">
        <v>1554</v>
      </c>
      <c r="K586" t="s">
        <v>1557</v>
      </c>
      <c r="L586">
        <v>861492</v>
      </c>
      <c r="M586">
        <v>770203</v>
      </c>
      <c r="N586">
        <v>91289</v>
      </c>
      <c r="O586">
        <v>56</v>
      </c>
      <c r="P586" t="str">
        <f t="shared" si="19"/>
        <v>senior</v>
      </c>
      <c r="Q586" t="s">
        <v>1558</v>
      </c>
      <c r="R586" t="s">
        <v>1563</v>
      </c>
      <c r="S586" t="s">
        <v>1570</v>
      </c>
      <c r="T586">
        <v>382076</v>
      </c>
      <c r="U586">
        <v>3</v>
      </c>
      <c r="V586" t="s">
        <v>1581</v>
      </c>
      <c r="W586" t="s">
        <v>1591</v>
      </c>
      <c r="X586">
        <v>10.6</v>
      </c>
    </row>
    <row r="587" spans="1:24" x14ac:dyDescent="0.25">
      <c r="A587" t="s">
        <v>607</v>
      </c>
      <c r="B587" s="4">
        <v>46064</v>
      </c>
      <c r="C587" s="4" t="str">
        <f t="shared" si="18"/>
        <v>Feb</v>
      </c>
      <c r="D587" t="s">
        <v>1522</v>
      </c>
      <c r="E587" t="s">
        <v>1526</v>
      </c>
      <c r="F587" t="s">
        <v>1530</v>
      </c>
      <c r="G587" t="s">
        <v>1542</v>
      </c>
      <c r="H587" t="s">
        <v>1551</v>
      </c>
      <c r="I587">
        <v>2025</v>
      </c>
      <c r="J587" t="s">
        <v>1554</v>
      </c>
      <c r="K587" t="s">
        <v>1557</v>
      </c>
      <c r="L587">
        <v>818578</v>
      </c>
      <c r="M587">
        <v>747960</v>
      </c>
      <c r="N587">
        <v>70618</v>
      </c>
      <c r="O587">
        <v>36</v>
      </c>
      <c r="P587" t="str">
        <f t="shared" si="19"/>
        <v>adult</v>
      </c>
      <c r="Q587" t="s">
        <v>1558</v>
      </c>
      <c r="R587" t="s">
        <v>1561</v>
      </c>
      <c r="S587" t="s">
        <v>1570</v>
      </c>
      <c r="T587">
        <v>1686390</v>
      </c>
      <c r="U587">
        <v>5</v>
      </c>
      <c r="V587" t="s">
        <v>1589</v>
      </c>
      <c r="W587" t="s">
        <v>1591</v>
      </c>
      <c r="X587">
        <v>8.6300000000000008</v>
      </c>
    </row>
    <row r="588" spans="1:24" x14ac:dyDescent="0.25">
      <c r="A588" t="s">
        <v>608</v>
      </c>
      <c r="B588" s="4">
        <v>45805</v>
      </c>
      <c r="C588" s="4" t="str">
        <f t="shared" si="18"/>
        <v>May</v>
      </c>
      <c r="D588" t="s">
        <v>1522</v>
      </c>
      <c r="E588" t="s">
        <v>1527</v>
      </c>
      <c r="F588" t="s">
        <v>1533</v>
      </c>
      <c r="G588" t="s">
        <v>1547</v>
      </c>
      <c r="H588" t="s">
        <v>4</v>
      </c>
      <c r="I588">
        <v>2025</v>
      </c>
      <c r="J588" t="s">
        <v>1554</v>
      </c>
      <c r="K588" t="s">
        <v>1557</v>
      </c>
      <c r="L588">
        <v>1337673</v>
      </c>
      <c r="M588">
        <v>1114381</v>
      </c>
      <c r="N588">
        <v>223292</v>
      </c>
      <c r="O588">
        <v>24</v>
      </c>
      <c r="P588" t="str">
        <f t="shared" si="19"/>
        <v>young</v>
      </c>
      <c r="Q588" t="s">
        <v>1558</v>
      </c>
      <c r="R588" t="s">
        <v>1564</v>
      </c>
      <c r="S588" t="s">
        <v>1570</v>
      </c>
      <c r="T588">
        <v>2021320</v>
      </c>
      <c r="U588">
        <v>3</v>
      </c>
      <c r="V588" t="s">
        <v>1572</v>
      </c>
      <c r="W588" t="s">
        <v>1592</v>
      </c>
      <c r="X588">
        <v>16.690000000000001</v>
      </c>
    </row>
    <row r="589" spans="1:24" x14ac:dyDescent="0.25">
      <c r="A589" t="s">
        <v>609</v>
      </c>
      <c r="B589" s="4">
        <v>45887</v>
      </c>
      <c r="C589" s="4" t="str">
        <f t="shared" si="18"/>
        <v>Aug</v>
      </c>
      <c r="D589" t="s">
        <v>1522</v>
      </c>
      <c r="E589" t="s">
        <v>1523</v>
      </c>
      <c r="F589" t="s">
        <v>1528</v>
      </c>
      <c r="G589" t="s">
        <v>1540</v>
      </c>
      <c r="H589" t="s">
        <v>1550</v>
      </c>
      <c r="I589">
        <v>2025</v>
      </c>
      <c r="J589" t="s">
        <v>1554</v>
      </c>
      <c r="K589" t="s">
        <v>1557</v>
      </c>
      <c r="L589">
        <v>1480766</v>
      </c>
      <c r="M589">
        <v>1282864</v>
      </c>
      <c r="N589">
        <v>197902</v>
      </c>
      <c r="O589">
        <v>54</v>
      </c>
      <c r="P589" t="str">
        <f t="shared" si="19"/>
        <v>senior</v>
      </c>
      <c r="Q589" t="s">
        <v>1558</v>
      </c>
      <c r="R589" t="s">
        <v>1566</v>
      </c>
      <c r="S589" t="s">
        <v>1569</v>
      </c>
      <c r="T589">
        <v>767022</v>
      </c>
      <c r="U589">
        <v>4</v>
      </c>
      <c r="V589" t="s">
        <v>1585</v>
      </c>
      <c r="W589" t="s">
        <v>1594</v>
      </c>
      <c r="X589">
        <v>13.36</v>
      </c>
    </row>
    <row r="590" spans="1:24" x14ac:dyDescent="0.25">
      <c r="A590" t="s">
        <v>610</v>
      </c>
      <c r="B590" s="4">
        <v>45815</v>
      </c>
      <c r="C590" s="4" t="str">
        <f t="shared" si="18"/>
        <v>Jun</v>
      </c>
      <c r="D590" t="s">
        <v>1522</v>
      </c>
      <c r="E590" t="s">
        <v>1523</v>
      </c>
      <c r="F590" t="s">
        <v>1530</v>
      </c>
      <c r="G590" t="s">
        <v>1538</v>
      </c>
      <c r="H590" t="s">
        <v>4</v>
      </c>
      <c r="I590">
        <v>2023</v>
      </c>
      <c r="J590" t="s">
        <v>1554</v>
      </c>
      <c r="K590" t="s">
        <v>1556</v>
      </c>
      <c r="L590">
        <v>1576152</v>
      </c>
      <c r="M590">
        <v>1433096</v>
      </c>
      <c r="N590">
        <v>143056</v>
      </c>
      <c r="O590">
        <v>59</v>
      </c>
      <c r="P590" t="str">
        <f t="shared" si="19"/>
        <v>senior</v>
      </c>
      <c r="Q590" t="s">
        <v>1558</v>
      </c>
      <c r="R590" t="s">
        <v>1563</v>
      </c>
      <c r="S590" t="s">
        <v>1570</v>
      </c>
      <c r="T590">
        <v>1445408</v>
      </c>
      <c r="U590">
        <v>4</v>
      </c>
      <c r="V590" t="s">
        <v>1584</v>
      </c>
      <c r="W590" t="s">
        <v>1592</v>
      </c>
      <c r="X590">
        <v>9.08</v>
      </c>
    </row>
    <row r="591" spans="1:24" x14ac:dyDescent="0.25">
      <c r="A591" t="s">
        <v>611</v>
      </c>
      <c r="B591" s="4">
        <v>46176</v>
      </c>
      <c r="C591" s="4" t="str">
        <f t="shared" si="18"/>
        <v>Jun</v>
      </c>
      <c r="D591" t="s">
        <v>1522</v>
      </c>
      <c r="E591" t="s">
        <v>1525</v>
      </c>
      <c r="F591" t="s">
        <v>1528</v>
      </c>
      <c r="G591" t="s">
        <v>1545</v>
      </c>
      <c r="H591" t="s">
        <v>4</v>
      </c>
      <c r="I591">
        <v>2025</v>
      </c>
      <c r="J591" t="s">
        <v>1554</v>
      </c>
      <c r="K591" t="s">
        <v>1557</v>
      </c>
      <c r="L591">
        <v>1760544</v>
      </c>
      <c r="M591">
        <v>1463714</v>
      </c>
      <c r="N591">
        <v>296830</v>
      </c>
      <c r="O591">
        <v>41</v>
      </c>
      <c r="P591" t="str">
        <f t="shared" si="19"/>
        <v>adult</v>
      </c>
      <c r="Q591" t="s">
        <v>1559</v>
      </c>
      <c r="R591" t="s">
        <v>1561</v>
      </c>
      <c r="S591" t="s">
        <v>1568</v>
      </c>
      <c r="T591">
        <v>244445</v>
      </c>
      <c r="U591">
        <v>3</v>
      </c>
      <c r="V591" t="s">
        <v>1582</v>
      </c>
      <c r="W591" t="s">
        <v>1592</v>
      </c>
      <c r="X591">
        <v>16.86</v>
      </c>
    </row>
    <row r="592" spans="1:24" x14ac:dyDescent="0.25">
      <c r="A592" t="s">
        <v>612</v>
      </c>
      <c r="B592" s="4">
        <v>45910</v>
      </c>
      <c r="C592" s="4" t="str">
        <f t="shared" si="18"/>
        <v>Sep</v>
      </c>
      <c r="D592" t="s">
        <v>1522</v>
      </c>
      <c r="E592" t="s">
        <v>1526</v>
      </c>
      <c r="F592" t="s">
        <v>1531</v>
      </c>
      <c r="G592" t="s">
        <v>1548</v>
      </c>
      <c r="H592" t="s">
        <v>1551</v>
      </c>
      <c r="I592">
        <v>2026</v>
      </c>
      <c r="J592" t="s">
        <v>1554</v>
      </c>
      <c r="K592" t="s">
        <v>1556</v>
      </c>
      <c r="L592">
        <v>974160</v>
      </c>
      <c r="M592">
        <v>893122</v>
      </c>
      <c r="N592">
        <v>81038</v>
      </c>
      <c r="O592">
        <v>42</v>
      </c>
      <c r="P592" t="str">
        <f t="shared" si="19"/>
        <v>adult</v>
      </c>
      <c r="Q592" t="s">
        <v>1559</v>
      </c>
      <c r="R592" t="s">
        <v>1566</v>
      </c>
      <c r="S592" t="s">
        <v>1569</v>
      </c>
      <c r="T592">
        <v>1609373</v>
      </c>
      <c r="U592">
        <v>2</v>
      </c>
      <c r="V592" t="s">
        <v>1577</v>
      </c>
      <c r="W592" t="s">
        <v>1594</v>
      </c>
      <c r="X592">
        <v>8.32</v>
      </c>
    </row>
    <row r="593" spans="1:24" x14ac:dyDescent="0.25">
      <c r="A593" t="s">
        <v>613</v>
      </c>
      <c r="B593" s="4">
        <v>45812</v>
      </c>
      <c r="C593" s="4" t="str">
        <f t="shared" si="18"/>
        <v>Jun</v>
      </c>
      <c r="D593" t="s">
        <v>1522</v>
      </c>
      <c r="E593" t="s">
        <v>1526</v>
      </c>
      <c r="F593" t="s">
        <v>1537</v>
      </c>
      <c r="G593" t="s">
        <v>1541</v>
      </c>
      <c r="H593" t="s">
        <v>1551</v>
      </c>
      <c r="I593">
        <v>2025</v>
      </c>
      <c r="J593" t="s">
        <v>1554</v>
      </c>
      <c r="K593" t="s">
        <v>1556</v>
      </c>
      <c r="L593">
        <v>807607</v>
      </c>
      <c r="M593">
        <v>725446</v>
      </c>
      <c r="N593">
        <v>82161</v>
      </c>
      <c r="O593">
        <v>22</v>
      </c>
      <c r="P593" t="str">
        <f t="shared" si="19"/>
        <v>young</v>
      </c>
      <c r="Q593" t="s">
        <v>1558</v>
      </c>
      <c r="R593" t="s">
        <v>1561</v>
      </c>
      <c r="S593" t="s">
        <v>1567</v>
      </c>
      <c r="T593">
        <v>1752468</v>
      </c>
      <c r="U593">
        <v>1</v>
      </c>
      <c r="V593" t="s">
        <v>1584</v>
      </c>
      <c r="W593" t="s">
        <v>1592</v>
      </c>
      <c r="X593">
        <v>10.17</v>
      </c>
    </row>
    <row r="594" spans="1:24" x14ac:dyDescent="0.25">
      <c r="A594" t="s">
        <v>614</v>
      </c>
      <c r="B594" s="4">
        <v>46066</v>
      </c>
      <c r="C594" s="4" t="str">
        <f t="shared" si="18"/>
        <v>Feb</v>
      </c>
      <c r="D594" t="s">
        <v>1522</v>
      </c>
      <c r="E594" t="s">
        <v>1525</v>
      </c>
      <c r="F594" t="s">
        <v>1528</v>
      </c>
      <c r="G594" t="s">
        <v>1540</v>
      </c>
      <c r="H594" t="s">
        <v>1552</v>
      </c>
      <c r="I594">
        <v>2025</v>
      </c>
      <c r="J594" t="s">
        <v>1555</v>
      </c>
      <c r="K594" t="s">
        <v>1556</v>
      </c>
      <c r="L594">
        <v>1986182</v>
      </c>
      <c r="M594">
        <v>1635373</v>
      </c>
      <c r="N594">
        <v>350809</v>
      </c>
      <c r="O594">
        <v>62</v>
      </c>
      <c r="P594" t="str">
        <f t="shared" si="19"/>
        <v>senior</v>
      </c>
      <c r="Q594" t="s">
        <v>1559</v>
      </c>
      <c r="R594" t="s">
        <v>1563</v>
      </c>
      <c r="S594" t="s">
        <v>1567</v>
      </c>
      <c r="T594">
        <v>2062741</v>
      </c>
      <c r="U594">
        <v>4</v>
      </c>
      <c r="V594" t="s">
        <v>1589</v>
      </c>
      <c r="W594" t="s">
        <v>1591</v>
      </c>
      <c r="X594">
        <v>17.66</v>
      </c>
    </row>
    <row r="595" spans="1:24" x14ac:dyDescent="0.25">
      <c r="A595" t="s">
        <v>615</v>
      </c>
      <c r="B595" s="4">
        <v>45970</v>
      </c>
      <c r="C595" s="4" t="str">
        <f t="shared" si="18"/>
        <v>Nov</v>
      </c>
      <c r="D595" t="s">
        <v>1522</v>
      </c>
      <c r="E595" t="s">
        <v>1526</v>
      </c>
      <c r="F595" t="s">
        <v>1530</v>
      </c>
      <c r="G595" t="s">
        <v>1549</v>
      </c>
      <c r="H595" t="s">
        <v>4</v>
      </c>
      <c r="I595">
        <v>2025</v>
      </c>
      <c r="J595" t="s">
        <v>1554</v>
      </c>
      <c r="K595" t="s">
        <v>1556</v>
      </c>
      <c r="L595">
        <v>1451896</v>
      </c>
      <c r="M595">
        <v>1283644</v>
      </c>
      <c r="N595">
        <v>168252</v>
      </c>
      <c r="O595">
        <v>63</v>
      </c>
      <c r="P595" t="str">
        <f t="shared" si="19"/>
        <v>senior</v>
      </c>
      <c r="Q595" t="s">
        <v>1559</v>
      </c>
      <c r="R595" t="s">
        <v>1565</v>
      </c>
      <c r="S595" t="s">
        <v>1567</v>
      </c>
      <c r="T595">
        <v>1043544</v>
      </c>
      <c r="U595">
        <v>3</v>
      </c>
      <c r="V595" t="s">
        <v>1583</v>
      </c>
      <c r="W595" t="s">
        <v>1593</v>
      </c>
      <c r="X595">
        <v>11.59</v>
      </c>
    </row>
    <row r="596" spans="1:24" x14ac:dyDescent="0.25">
      <c r="A596" t="s">
        <v>616</v>
      </c>
      <c r="B596" s="4">
        <v>46173</v>
      </c>
      <c r="C596" s="4" t="str">
        <f t="shared" si="18"/>
        <v>May</v>
      </c>
      <c r="D596" t="s">
        <v>1522</v>
      </c>
      <c r="E596" t="s">
        <v>1523</v>
      </c>
      <c r="F596" t="s">
        <v>1536</v>
      </c>
      <c r="G596" t="s">
        <v>1548</v>
      </c>
      <c r="H596" t="s">
        <v>4</v>
      </c>
      <c r="I596">
        <v>2023</v>
      </c>
      <c r="J596" t="s">
        <v>1554</v>
      </c>
      <c r="K596" t="s">
        <v>1556</v>
      </c>
      <c r="L596">
        <v>1483098</v>
      </c>
      <c r="M596">
        <v>1242360</v>
      </c>
      <c r="N596">
        <v>240738</v>
      </c>
      <c r="O596">
        <v>22</v>
      </c>
      <c r="P596" t="str">
        <f t="shared" si="19"/>
        <v>young</v>
      </c>
      <c r="Q596" t="s">
        <v>1559</v>
      </c>
      <c r="R596" t="s">
        <v>1565</v>
      </c>
      <c r="S596" t="s">
        <v>1567</v>
      </c>
      <c r="T596">
        <v>1593967</v>
      </c>
      <c r="U596">
        <v>3</v>
      </c>
      <c r="V596" t="s">
        <v>1590</v>
      </c>
      <c r="W596" t="s">
        <v>1592</v>
      </c>
      <c r="X596">
        <v>16.23</v>
      </c>
    </row>
    <row r="597" spans="1:24" x14ac:dyDescent="0.25">
      <c r="A597" t="s">
        <v>617</v>
      </c>
      <c r="B597" s="4">
        <v>46015</v>
      </c>
      <c r="C597" s="4" t="str">
        <f t="shared" si="18"/>
        <v>Dec</v>
      </c>
      <c r="D597" t="s">
        <v>1522</v>
      </c>
      <c r="E597" t="s">
        <v>1526</v>
      </c>
      <c r="F597" t="s">
        <v>1533</v>
      </c>
      <c r="G597" t="s">
        <v>1547</v>
      </c>
      <c r="H597" t="s">
        <v>4</v>
      </c>
      <c r="I597">
        <v>2026</v>
      </c>
      <c r="J597" t="s">
        <v>1554</v>
      </c>
      <c r="K597" t="s">
        <v>1556</v>
      </c>
      <c r="L597">
        <v>1254428</v>
      </c>
      <c r="M597">
        <v>1167223</v>
      </c>
      <c r="N597">
        <v>87205</v>
      </c>
      <c r="O597">
        <v>23</v>
      </c>
      <c r="P597" t="str">
        <f t="shared" si="19"/>
        <v>young</v>
      </c>
      <c r="Q597" t="s">
        <v>1558</v>
      </c>
      <c r="R597" t="s">
        <v>1565</v>
      </c>
      <c r="S597" t="s">
        <v>1567</v>
      </c>
      <c r="T597">
        <v>1678839</v>
      </c>
      <c r="U597">
        <v>2</v>
      </c>
      <c r="V597" t="s">
        <v>1575</v>
      </c>
      <c r="W597" t="s">
        <v>1593</v>
      </c>
      <c r="X597">
        <v>6.95</v>
      </c>
    </row>
    <row r="598" spans="1:24" x14ac:dyDescent="0.25">
      <c r="A598" t="s">
        <v>618</v>
      </c>
      <c r="B598" s="4">
        <v>46099</v>
      </c>
      <c r="C598" s="4" t="str">
        <f t="shared" si="18"/>
        <v>Mar</v>
      </c>
      <c r="D598" t="s">
        <v>1522</v>
      </c>
      <c r="E598" t="s">
        <v>1524</v>
      </c>
      <c r="F598" t="s">
        <v>1528</v>
      </c>
      <c r="G598" t="s">
        <v>1546</v>
      </c>
      <c r="H598" t="s">
        <v>1550</v>
      </c>
      <c r="I598">
        <v>2024</v>
      </c>
      <c r="J598" t="s">
        <v>1554</v>
      </c>
      <c r="K598" t="s">
        <v>1556</v>
      </c>
      <c r="L598">
        <v>1312307</v>
      </c>
      <c r="M598">
        <v>1114501</v>
      </c>
      <c r="N598">
        <v>197806</v>
      </c>
      <c r="O598">
        <v>49</v>
      </c>
      <c r="P598" t="str">
        <f t="shared" si="19"/>
        <v>adult</v>
      </c>
      <c r="Q598" t="s">
        <v>1558</v>
      </c>
      <c r="R598" t="s">
        <v>1566</v>
      </c>
      <c r="S598" t="s">
        <v>1567</v>
      </c>
      <c r="T598">
        <v>1595387</v>
      </c>
      <c r="U598">
        <v>3</v>
      </c>
      <c r="V598" t="s">
        <v>1586</v>
      </c>
      <c r="W598" t="s">
        <v>1591</v>
      </c>
      <c r="X598">
        <v>15.07</v>
      </c>
    </row>
    <row r="599" spans="1:24" x14ac:dyDescent="0.25">
      <c r="A599" t="s">
        <v>619</v>
      </c>
      <c r="B599" s="4">
        <v>46240</v>
      </c>
      <c r="C599" s="4" t="str">
        <f t="shared" si="18"/>
        <v>Aug</v>
      </c>
      <c r="D599" t="s">
        <v>1522</v>
      </c>
      <c r="E599" t="s">
        <v>1523</v>
      </c>
      <c r="F599" t="s">
        <v>1531</v>
      </c>
      <c r="G599" t="s">
        <v>1541</v>
      </c>
      <c r="H599" t="s">
        <v>1551</v>
      </c>
      <c r="I599">
        <v>2023</v>
      </c>
      <c r="J599" t="s">
        <v>1554</v>
      </c>
      <c r="K599" t="s">
        <v>1557</v>
      </c>
      <c r="L599">
        <v>778229</v>
      </c>
      <c r="M599">
        <v>763229</v>
      </c>
      <c r="N599">
        <v>15000</v>
      </c>
      <c r="O599">
        <v>27</v>
      </c>
      <c r="P599" t="str">
        <f t="shared" si="19"/>
        <v>young</v>
      </c>
      <c r="Q599" t="s">
        <v>1559</v>
      </c>
      <c r="R599" t="s">
        <v>1564</v>
      </c>
      <c r="S599" t="s">
        <v>1569</v>
      </c>
      <c r="T599">
        <v>456348</v>
      </c>
      <c r="U599">
        <v>1</v>
      </c>
      <c r="V599" t="s">
        <v>1576</v>
      </c>
      <c r="W599" t="s">
        <v>1594</v>
      </c>
      <c r="X599">
        <v>1.93</v>
      </c>
    </row>
    <row r="600" spans="1:24" x14ac:dyDescent="0.25">
      <c r="A600" t="s">
        <v>620</v>
      </c>
      <c r="B600" s="4">
        <v>46112</v>
      </c>
      <c r="C600" s="4" t="str">
        <f t="shared" si="18"/>
        <v>Mar</v>
      </c>
      <c r="D600" t="s">
        <v>1522</v>
      </c>
      <c r="E600" t="s">
        <v>1523</v>
      </c>
      <c r="F600" t="s">
        <v>1528</v>
      </c>
      <c r="G600" t="s">
        <v>1545</v>
      </c>
      <c r="H600" t="s">
        <v>1552</v>
      </c>
      <c r="I600">
        <v>2025</v>
      </c>
      <c r="J600" t="s">
        <v>1555</v>
      </c>
      <c r="K600" t="s">
        <v>1556</v>
      </c>
      <c r="L600">
        <v>1988946</v>
      </c>
      <c r="M600">
        <v>1833014</v>
      </c>
      <c r="N600">
        <v>155932</v>
      </c>
      <c r="O600">
        <v>30</v>
      </c>
      <c r="P600" t="str">
        <f t="shared" si="19"/>
        <v>young</v>
      </c>
      <c r="Q600" t="s">
        <v>1559</v>
      </c>
      <c r="R600" t="s">
        <v>1564</v>
      </c>
      <c r="S600" t="s">
        <v>1567</v>
      </c>
      <c r="T600">
        <v>1461277</v>
      </c>
      <c r="U600">
        <v>1</v>
      </c>
      <c r="V600" t="s">
        <v>1586</v>
      </c>
      <c r="W600" t="s">
        <v>1591</v>
      </c>
      <c r="X600">
        <v>7.84</v>
      </c>
    </row>
    <row r="601" spans="1:24" x14ac:dyDescent="0.25">
      <c r="A601" t="s">
        <v>621</v>
      </c>
      <c r="B601" s="4">
        <v>45918</v>
      </c>
      <c r="C601" s="4" t="str">
        <f t="shared" si="18"/>
        <v>Sep</v>
      </c>
      <c r="D601" t="s">
        <v>1522</v>
      </c>
      <c r="E601" t="s">
        <v>1527</v>
      </c>
      <c r="F601" t="s">
        <v>1530</v>
      </c>
      <c r="G601" t="s">
        <v>1544</v>
      </c>
      <c r="H601" t="s">
        <v>4</v>
      </c>
      <c r="I601">
        <v>2023</v>
      </c>
      <c r="J601" t="s">
        <v>1554</v>
      </c>
      <c r="K601" t="s">
        <v>1556</v>
      </c>
      <c r="L601">
        <v>1406684</v>
      </c>
      <c r="M601">
        <v>1291223</v>
      </c>
      <c r="N601">
        <v>115461</v>
      </c>
      <c r="O601">
        <v>39</v>
      </c>
      <c r="P601" t="str">
        <f t="shared" si="19"/>
        <v>adult</v>
      </c>
      <c r="Q601" t="s">
        <v>1558</v>
      </c>
      <c r="R601" t="s">
        <v>1566</v>
      </c>
      <c r="S601" t="s">
        <v>1569</v>
      </c>
      <c r="T601">
        <v>844432</v>
      </c>
      <c r="U601">
        <v>3</v>
      </c>
      <c r="V601" t="s">
        <v>1577</v>
      </c>
      <c r="W601" t="s">
        <v>1594</v>
      </c>
      <c r="X601">
        <v>8.2100000000000009</v>
      </c>
    </row>
    <row r="602" spans="1:24" x14ac:dyDescent="0.25">
      <c r="A602" t="s">
        <v>622</v>
      </c>
      <c r="B602" s="4">
        <v>46016</v>
      </c>
      <c r="C602" s="4" t="str">
        <f t="shared" si="18"/>
        <v>Dec</v>
      </c>
      <c r="D602" t="s">
        <v>1522</v>
      </c>
      <c r="E602" t="s">
        <v>1523</v>
      </c>
      <c r="F602" t="s">
        <v>1529</v>
      </c>
      <c r="G602" t="s">
        <v>1546</v>
      </c>
      <c r="H602" t="s">
        <v>1551</v>
      </c>
      <c r="I602">
        <v>2024</v>
      </c>
      <c r="J602" t="s">
        <v>1554</v>
      </c>
      <c r="K602" t="s">
        <v>1557</v>
      </c>
      <c r="L602">
        <v>855878</v>
      </c>
      <c r="M602">
        <v>771366</v>
      </c>
      <c r="N602">
        <v>84512</v>
      </c>
      <c r="O602">
        <v>22</v>
      </c>
      <c r="P602" t="str">
        <f t="shared" si="19"/>
        <v>young</v>
      </c>
      <c r="Q602" t="s">
        <v>1558</v>
      </c>
      <c r="R602" t="s">
        <v>1565</v>
      </c>
      <c r="S602" t="s">
        <v>1569</v>
      </c>
      <c r="T602">
        <v>1151642</v>
      </c>
      <c r="U602">
        <v>4</v>
      </c>
      <c r="V602" t="s">
        <v>1575</v>
      </c>
      <c r="W602" t="s">
        <v>1593</v>
      </c>
      <c r="X602">
        <v>9.8699999999999992</v>
      </c>
    </row>
    <row r="603" spans="1:24" x14ac:dyDescent="0.25">
      <c r="A603" t="s">
        <v>623</v>
      </c>
      <c r="B603" s="4">
        <v>46081</v>
      </c>
      <c r="C603" s="4" t="str">
        <f t="shared" si="18"/>
        <v>Feb</v>
      </c>
      <c r="D603" t="s">
        <v>1522</v>
      </c>
      <c r="E603" t="s">
        <v>1524</v>
      </c>
      <c r="F603" t="s">
        <v>1530</v>
      </c>
      <c r="G603" t="s">
        <v>1549</v>
      </c>
      <c r="H603" t="s">
        <v>1550</v>
      </c>
      <c r="I603">
        <v>2025</v>
      </c>
      <c r="J603" t="s">
        <v>1554</v>
      </c>
      <c r="K603" t="s">
        <v>1556</v>
      </c>
      <c r="L603">
        <v>1419331</v>
      </c>
      <c r="M603">
        <v>1310342</v>
      </c>
      <c r="N603">
        <v>108989</v>
      </c>
      <c r="O603">
        <v>26</v>
      </c>
      <c r="P603" t="str">
        <f t="shared" si="19"/>
        <v>young</v>
      </c>
      <c r="Q603" t="s">
        <v>1558</v>
      </c>
      <c r="R603" t="s">
        <v>1564</v>
      </c>
      <c r="S603" t="s">
        <v>1567</v>
      </c>
      <c r="T603">
        <v>1056904</v>
      </c>
      <c r="U603">
        <v>2</v>
      </c>
      <c r="V603" t="s">
        <v>1589</v>
      </c>
      <c r="W603" t="s">
        <v>1591</v>
      </c>
      <c r="X603">
        <v>7.68</v>
      </c>
    </row>
    <row r="604" spans="1:24" x14ac:dyDescent="0.25">
      <c r="A604" t="s">
        <v>624</v>
      </c>
      <c r="B604" s="4">
        <v>45922</v>
      </c>
      <c r="C604" s="4" t="str">
        <f t="shared" si="18"/>
        <v>Sep</v>
      </c>
      <c r="D604" t="s">
        <v>1522</v>
      </c>
      <c r="E604" t="s">
        <v>1523</v>
      </c>
      <c r="F604" t="s">
        <v>1535</v>
      </c>
      <c r="G604" t="s">
        <v>1549</v>
      </c>
      <c r="H604" t="s">
        <v>1551</v>
      </c>
      <c r="I604">
        <v>2022</v>
      </c>
      <c r="J604" t="s">
        <v>1554</v>
      </c>
      <c r="K604" t="s">
        <v>1557</v>
      </c>
      <c r="L604">
        <v>819110</v>
      </c>
      <c r="M604">
        <v>689790</v>
      </c>
      <c r="N604">
        <v>129320</v>
      </c>
      <c r="O604">
        <v>51</v>
      </c>
      <c r="P604" t="str">
        <f t="shared" si="19"/>
        <v>senior</v>
      </c>
      <c r="Q604" t="s">
        <v>1559</v>
      </c>
      <c r="R604" t="s">
        <v>1563</v>
      </c>
      <c r="S604" t="s">
        <v>1567</v>
      </c>
      <c r="T604">
        <v>2174542</v>
      </c>
      <c r="U604">
        <v>4</v>
      </c>
      <c r="V604" t="s">
        <v>1577</v>
      </c>
      <c r="W604" t="s">
        <v>1594</v>
      </c>
      <c r="X604">
        <v>15.79</v>
      </c>
    </row>
    <row r="605" spans="1:24" x14ac:dyDescent="0.25">
      <c r="A605" t="s">
        <v>625</v>
      </c>
      <c r="B605" s="4">
        <v>46183</v>
      </c>
      <c r="C605" s="4" t="str">
        <f t="shared" si="18"/>
        <v>Jun</v>
      </c>
      <c r="D605" t="s">
        <v>1522</v>
      </c>
      <c r="E605" t="s">
        <v>1524</v>
      </c>
      <c r="F605" t="s">
        <v>1535</v>
      </c>
      <c r="G605" t="s">
        <v>1544</v>
      </c>
      <c r="H605" t="s">
        <v>1551</v>
      </c>
      <c r="I605">
        <v>2026</v>
      </c>
      <c r="J605" t="s">
        <v>1554</v>
      </c>
      <c r="K605" t="s">
        <v>1557</v>
      </c>
      <c r="L605">
        <v>849513</v>
      </c>
      <c r="M605">
        <v>731421</v>
      </c>
      <c r="N605">
        <v>118092</v>
      </c>
      <c r="O605">
        <v>28</v>
      </c>
      <c r="P605" t="str">
        <f t="shared" si="19"/>
        <v>young</v>
      </c>
      <c r="Q605" t="s">
        <v>1559</v>
      </c>
      <c r="R605" t="s">
        <v>1564</v>
      </c>
      <c r="S605" t="s">
        <v>1568</v>
      </c>
      <c r="T605">
        <v>1269610</v>
      </c>
      <c r="U605">
        <v>1</v>
      </c>
      <c r="V605" t="s">
        <v>1582</v>
      </c>
      <c r="W605" t="s">
        <v>1592</v>
      </c>
      <c r="X605">
        <v>13.9</v>
      </c>
    </row>
    <row r="606" spans="1:24" x14ac:dyDescent="0.25">
      <c r="A606" t="s">
        <v>626</v>
      </c>
      <c r="B606" s="4">
        <v>45736</v>
      </c>
      <c r="C606" s="4" t="str">
        <f t="shared" si="18"/>
        <v>Mar</v>
      </c>
      <c r="D606" t="s">
        <v>1522</v>
      </c>
      <c r="E606" t="s">
        <v>1524</v>
      </c>
      <c r="F606" t="s">
        <v>1534</v>
      </c>
      <c r="G606" t="s">
        <v>1544</v>
      </c>
      <c r="H606" t="s">
        <v>1550</v>
      </c>
      <c r="I606">
        <v>2024</v>
      </c>
      <c r="J606" t="s">
        <v>1554</v>
      </c>
      <c r="K606" t="s">
        <v>1556</v>
      </c>
      <c r="L606">
        <v>1678029</v>
      </c>
      <c r="M606">
        <v>1435510</v>
      </c>
      <c r="N606">
        <v>242519</v>
      </c>
      <c r="O606">
        <v>49</v>
      </c>
      <c r="P606" t="str">
        <f t="shared" si="19"/>
        <v>adult</v>
      </c>
      <c r="Q606" t="s">
        <v>1559</v>
      </c>
      <c r="R606" t="s">
        <v>1562</v>
      </c>
      <c r="S606" t="s">
        <v>1570</v>
      </c>
      <c r="T606">
        <v>119140</v>
      </c>
      <c r="U606">
        <v>2</v>
      </c>
      <c r="V606" t="s">
        <v>1588</v>
      </c>
      <c r="W606" t="s">
        <v>1591</v>
      </c>
      <c r="X606">
        <v>14.45</v>
      </c>
    </row>
    <row r="607" spans="1:24" x14ac:dyDescent="0.25">
      <c r="A607" t="s">
        <v>627</v>
      </c>
      <c r="B607" s="4">
        <v>45751</v>
      </c>
      <c r="C607" s="4" t="str">
        <f t="shared" si="18"/>
        <v>Apr</v>
      </c>
      <c r="D607" t="s">
        <v>1522</v>
      </c>
      <c r="E607" t="s">
        <v>1524</v>
      </c>
      <c r="F607" t="s">
        <v>1529</v>
      </c>
      <c r="G607" t="s">
        <v>1549</v>
      </c>
      <c r="H607" t="s">
        <v>1551</v>
      </c>
      <c r="I607">
        <v>2025</v>
      </c>
      <c r="J607" t="s">
        <v>1554</v>
      </c>
      <c r="K607" t="s">
        <v>1556</v>
      </c>
      <c r="L607">
        <v>920735</v>
      </c>
      <c r="M607">
        <v>834968</v>
      </c>
      <c r="N607">
        <v>85767</v>
      </c>
      <c r="O607">
        <v>51</v>
      </c>
      <c r="P607" t="str">
        <f t="shared" si="19"/>
        <v>senior</v>
      </c>
      <c r="Q607" t="s">
        <v>1558</v>
      </c>
      <c r="R607" t="s">
        <v>1562</v>
      </c>
      <c r="S607" t="s">
        <v>1569</v>
      </c>
      <c r="T607">
        <v>911536</v>
      </c>
      <c r="U607">
        <v>5</v>
      </c>
      <c r="V607" t="s">
        <v>1573</v>
      </c>
      <c r="W607" t="s">
        <v>1592</v>
      </c>
      <c r="X607">
        <v>9.32</v>
      </c>
    </row>
    <row r="608" spans="1:24" x14ac:dyDescent="0.25">
      <c r="A608" t="s">
        <v>628</v>
      </c>
      <c r="B608" s="4">
        <v>45804</v>
      </c>
      <c r="C608" s="4" t="str">
        <f t="shared" si="18"/>
        <v>May</v>
      </c>
      <c r="D608" t="s">
        <v>1522</v>
      </c>
      <c r="E608" t="s">
        <v>1525</v>
      </c>
      <c r="F608" t="s">
        <v>1530</v>
      </c>
      <c r="G608" t="s">
        <v>1544</v>
      </c>
      <c r="H608" t="s">
        <v>1552</v>
      </c>
      <c r="I608">
        <v>2025</v>
      </c>
      <c r="J608" t="s">
        <v>1555</v>
      </c>
      <c r="K608" t="s">
        <v>1556</v>
      </c>
      <c r="L608">
        <v>2000090</v>
      </c>
      <c r="M608">
        <v>1668660</v>
      </c>
      <c r="N608">
        <v>331430</v>
      </c>
      <c r="O608">
        <v>49</v>
      </c>
      <c r="P608" t="str">
        <f t="shared" si="19"/>
        <v>adult</v>
      </c>
      <c r="Q608" t="s">
        <v>1558</v>
      </c>
      <c r="R608" t="s">
        <v>1566</v>
      </c>
      <c r="S608" t="s">
        <v>1569</v>
      </c>
      <c r="T608">
        <v>1850000</v>
      </c>
      <c r="U608">
        <v>3</v>
      </c>
      <c r="V608" t="s">
        <v>1572</v>
      </c>
      <c r="W608" t="s">
        <v>1592</v>
      </c>
      <c r="X608">
        <v>16.57</v>
      </c>
    </row>
    <row r="609" spans="1:24" x14ac:dyDescent="0.25">
      <c r="A609" t="s">
        <v>629</v>
      </c>
      <c r="B609" s="4">
        <v>45990</v>
      </c>
      <c r="C609" s="4" t="str">
        <f t="shared" si="18"/>
        <v>Nov</v>
      </c>
      <c r="D609" t="s">
        <v>1522</v>
      </c>
      <c r="E609" t="s">
        <v>1524</v>
      </c>
      <c r="F609" t="s">
        <v>1531</v>
      </c>
      <c r="G609" t="s">
        <v>1545</v>
      </c>
      <c r="H609" t="s">
        <v>4</v>
      </c>
      <c r="I609">
        <v>2024</v>
      </c>
      <c r="J609" t="s">
        <v>1554</v>
      </c>
      <c r="K609" t="s">
        <v>1556</v>
      </c>
      <c r="L609">
        <v>1287118</v>
      </c>
      <c r="M609">
        <v>1113600</v>
      </c>
      <c r="N609">
        <v>173518</v>
      </c>
      <c r="O609">
        <v>50</v>
      </c>
      <c r="P609" t="str">
        <f t="shared" si="19"/>
        <v>adult</v>
      </c>
      <c r="Q609" t="s">
        <v>1558</v>
      </c>
      <c r="R609" t="s">
        <v>1564</v>
      </c>
      <c r="S609" t="s">
        <v>1568</v>
      </c>
      <c r="T609">
        <v>1588636</v>
      </c>
      <c r="U609">
        <v>5</v>
      </c>
      <c r="V609" t="s">
        <v>1583</v>
      </c>
      <c r="W609" t="s">
        <v>1593</v>
      </c>
      <c r="X609">
        <v>13.48</v>
      </c>
    </row>
    <row r="610" spans="1:24" x14ac:dyDescent="0.25">
      <c r="A610" t="s">
        <v>630</v>
      </c>
      <c r="B610" s="4">
        <v>45889</v>
      </c>
      <c r="C610" s="4" t="str">
        <f t="shared" si="18"/>
        <v>Aug</v>
      </c>
      <c r="D610" t="s">
        <v>1522</v>
      </c>
      <c r="E610" t="s">
        <v>1523</v>
      </c>
      <c r="F610" t="s">
        <v>1529</v>
      </c>
      <c r="G610" t="s">
        <v>1548</v>
      </c>
      <c r="H610" t="s">
        <v>1551</v>
      </c>
      <c r="I610">
        <v>2026</v>
      </c>
      <c r="J610" t="s">
        <v>1554</v>
      </c>
      <c r="K610" t="s">
        <v>1556</v>
      </c>
      <c r="L610">
        <v>834713</v>
      </c>
      <c r="M610">
        <v>744136</v>
      </c>
      <c r="N610">
        <v>90577</v>
      </c>
      <c r="O610">
        <v>34</v>
      </c>
      <c r="P610" t="str">
        <f t="shared" si="19"/>
        <v>adult</v>
      </c>
      <c r="Q610" t="s">
        <v>1558</v>
      </c>
      <c r="R610" t="s">
        <v>1561</v>
      </c>
      <c r="S610" t="s">
        <v>1567</v>
      </c>
      <c r="T610">
        <v>1246233</v>
      </c>
      <c r="U610">
        <v>3</v>
      </c>
      <c r="V610" t="s">
        <v>1585</v>
      </c>
      <c r="W610" t="s">
        <v>1594</v>
      </c>
      <c r="X610">
        <v>10.85</v>
      </c>
    </row>
    <row r="611" spans="1:24" x14ac:dyDescent="0.25">
      <c r="A611" t="s">
        <v>631</v>
      </c>
      <c r="B611" s="4">
        <v>46089</v>
      </c>
      <c r="C611" s="4" t="str">
        <f t="shared" si="18"/>
        <v>Mar</v>
      </c>
      <c r="D611" t="s">
        <v>1522</v>
      </c>
      <c r="E611" t="s">
        <v>1526</v>
      </c>
      <c r="F611" t="s">
        <v>1532</v>
      </c>
      <c r="G611" t="s">
        <v>1545</v>
      </c>
      <c r="H611" t="s">
        <v>1550</v>
      </c>
      <c r="I611">
        <v>2025</v>
      </c>
      <c r="J611" t="s">
        <v>1554</v>
      </c>
      <c r="K611" t="s">
        <v>1556</v>
      </c>
      <c r="L611">
        <v>1222176</v>
      </c>
      <c r="M611">
        <v>991588</v>
      </c>
      <c r="N611">
        <v>230588</v>
      </c>
      <c r="O611">
        <v>38</v>
      </c>
      <c r="P611" t="str">
        <f t="shared" si="19"/>
        <v>adult</v>
      </c>
      <c r="Q611" t="s">
        <v>1559</v>
      </c>
      <c r="R611" t="s">
        <v>1565</v>
      </c>
      <c r="S611" t="s">
        <v>1567</v>
      </c>
      <c r="T611">
        <v>513496</v>
      </c>
      <c r="U611">
        <v>5</v>
      </c>
      <c r="V611" t="s">
        <v>1586</v>
      </c>
      <c r="W611" t="s">
        <v>1591</v>
      </c>
      <c r="X611">
        <v>18.87</v>
      </c>
    </row>
    <row r="612" spans="1:24" x14ac:dyDescent="0.25">
      <c r="A612" t="s">
        <v>632</v>
      </c>
      <c r="B612" s="4">
        <v>46123</v>
      </c>
      <c r="C612" s="4" t="str">
        <f t="shared" si="18"/>
        <v>Apr</v>
      </c>
      <c r="D612" t="s">
        <v>1522</v>
      </c>
      <c r="E612" t="s">
        <v>1527</v>
      </c>
      <c r="F612" t="s">
        <v>1528</v>
      </c>
      <c r="G612" t="s">
        <v>1548</v>
      </c>
      <c r="H612" t="s">
        <v>1552</v>
      </c>
      <c r="I612">
        <v>2025</v>
      </c>
      <c r="J612" t="s">
        <v>1555</v>
      </c>
      <c r="K612" t="s">
        <v>1556</v>
      </c>
      <c r="L612">
        <v>1998929</v>
      </c>
      <c r="M612">
        <v>1661622</v>
      </c>
      <c r="N612">
        <v>337307</v>
      </c>
      <c r="O612">
        <v>65</v>
      </c>
      <c r="P612" t="str">
        <f t="shared" si="19"/>
        <v>senior</v>
      </c>
      <c r="Q612" t="s">
        <v>1558</v>
      </c>
      <c r="R612" t="s">
        <v>1561</v>
      </c>
      <c r="S612" t="s">
        <v>1568</v>
      </c>
      <c r="T612">
        <v>1925714</v>
      </c>
      <c r="U612">
        <v>3</v>
      </c>
      <c r="V612" t="s">
        <v>1580</v>
      </c>
      <c r="W612" t="s">
        <v>1592</v>
      </c>
      <c r="X612">
        <v>16.87</v>
      </c>
    </row>
    <row r="613" spans="1:24" x14ac:dyDescent="0.25">
      <c r="A613" t="s">
        <v>633</v>
      </c>
      <c r="B613" s="4">
        <v>46227</v>
      </c>
      <c r="C613" s="4" t="str">
        <f t="shared" si="18"/>
        <v>Jul</v>
      </c>
      <c r="D613" t="s">
        <v>1522</v>
      </c>
      <c r="E613" t="s">
        <v>1526</v>
      </c>
      <c r="F613" t="s">
        <v>1533</v>
      </c>
      <c r="G613" t="s">
        <v>1542</v>
      </c>
      <c r="H613" t="s">
        <v>4</v>
      </c>
      <c r="I613">
        <v>2025</v>
      </c>
      <c r="J613" t="s">
        <v>1554</v>
      </c>
      <c r="K613" t="s">
        <v>1557</v>
      </c>
      <c r="L613">
        <v>1487382</v>
      </c>
      <c r="M613">
        <v>1284628</v>
      </c>
      <c r="N613">
        <v>202754</v>
      </c>
      <c r="O613">
        <v>45</v>
      </c>
      <c r="P613" t="str">
        <f t="shared" si="19"/>
        <v>adult</v>
      </c>
      <c r="Q613" t="s">
        <v>1559</v>
      </c>
      <c r="R613" t="s">
        <v>1566</v>
      </c>
      <c r="S613" t="s">
        <v>1568</v>
      </c>
      <c r="T613">
        <v>1935619</v>
      </c>
      <c r="U613">
        <v>3</v>
      </c>
      <c r="V613" t="s">
        <v>1587</v>
      </c>
      <c r="W613" t="s">
        <v>1594</v>
      </c>
      <c r="X613">
        <v>13.63</v>
      </c>
    </row>
    <row r="614" spans="1:24" x14ac:dyDescent="0.25">
      <c r="A614" t="s">
        <v>634</v>
      </c>
      <c r="B614" s="4">
        <v>46195</v>
      </c>
      <c r="C614" s="4" t="str">
        <f t="shared" si="18"/>
        <v>Jun</v>
      </c>
      <c r="D614" t="s">
        <v>1522</v>
      </c>
      <c r="E614" t="s">
        <v>1526</v>
      </c>
      <c r="F614" t="s">
        <v>1532</v>
      </c>
      <c r="G614" t="s">
        <v>1544</v>
      </c>
      <c r="H614" t="s">
        <v>1550</v>
      </c>
      <c r="I614">
        <v>2025</v>
      </c>
      <c r="J614" t="s">
        <v>1554</v>
      </c>
      <c r="K614" t="s">
        <v>1557</v>
      </c>
      <c r="L614">
        <v>1519006</v>
      </c>
      <c r="M614">
        <v>1379115</v>
      </c>
      <c r="N614">
        <v>139891</v>
      </c>
      <c r="O614">
        <v>47</v>
      </c>
      <c r="P614" t="str">
        <f t="shared" si="19"/>
        <v>adult</v>
      </c>
      <c r="Q614" t="s">
        <v>1559</v>
      </c>
      <c r="R614" t="s">
        <v>1564</v>
      </c>
      <c r="S614" t="s">
        <v>1567</v>
      </c>
      <c r="T614">
        <v>111940</v>
      </c>
      <c r="U614">
        <v>5</v>
      </c>
      <c r="V614" t="s">
        <v>1582</v>
      </c>
      <c r="W614" t="s">
        <v>1592</v>
      </c>
      <c r="X614">
        <v>9.2100000000000009</v>
      </c>
    </row>
    <row r="615" spans="1:24" x14ac:dyDescent="0.25">
      <c r="A615" t="s">
        <v>635</v>
      </c>
      <c r="B615" s="4">
        <v>46045</v>
      </c>
      <c r="C615" s="4" t="str">
        <f t="shared" si="18"/>
        <v>Jan</v>
      </c>
      <c r="D615" t="s">
        <v>1522</v>
      </c>
      <c r="E615" t="s">
        <v>1523</v>
      </c>
      <c r="F615" t="s">
        <v>1529</v>
      </c>
      <c r="G615" t="s">
        <v>1542</v>
      </c>
      <c r="H615" t="s">
        <v>1550</v>
      </c>
      <c r="I615">
        <v>2023</v>
      </c>
      <c r="J615" t="s">
        <v>1554</v>
      </c>
      <c r="K615" t="s">
        <v>1557</v>
      </c>
      <c r="L615">
        <v>1649456</v>
      </c>
      <c r="M615">
        <v>1379303</v>
      </c>
      <c r="N615">
        <v>270153</v>
      </c>
      <c r="O615">
        <v>54</v>
      </c>
      <c r="P615" t="str">
        <f t="shared" si="19"/>
        <v>senior</v>
      </c>
      <c r="Q615" t="s">
        <v>1558</v>
      </c>
      <c r="R615" t="s">
        <v>1566</v>
      </c>
      <c r="S615" t="s">
        <v>1567</v>
      </c>
      <c r="T615">
        <v>1294673</v>
      </c>
      <c r="U615">
        <v>5</v>
      </c>
      <c r="V615" t="s">
        <v>1581</v>
      </c>
      <c r="W615" t="s">
        <v>1591</v>
      </c>
      <c r="X615">
        <v>16.38</v>
      </c>
    </row>
    <row r="616" spans="1:24" x14ac:dyDescent="0.25">
      <c r="A616" t="s">
        <v>636</v>
      </c>
      <c r="B616" s="4">
        <v>46200</v>
      </c>
      <c r="C616" s="4" t="str">
        <f t="shared" si="18"/>
        <v>Jun</v>
      </c>
      <c r="D616" t="s">
        <v>1522</v>
      </c>
      <c r="E616" t="s">
        <v>1523</v>
      </c>
      <c r="F616" t="s">
        <v>1537</v>
      </c>
      <c r="G616" t="s">
        <v>1547</v>
      </c>
      <c r="H616" t="s">
        <v>1550</v>
      </c>
      <c r="I616">
        <v>2026</v>
      </c>
      <c r="J616" t="s">
        <v>1554</v>
      </c>
      <c r="K616" t="s">
        <v>1556</v>
      </c>
      <c r="L616">
        <v>1383871</v>
      </c>
      <c r="M616">
        <v>1238260</v>
      </c>
      <c r="N616">
        <v>145611</v>
      </c>
      <c r="O616">
        <v>26</v>
      </c>
      <c r="P616" t="str">
        <f t="shared" si="19"/>
        <v>young</v>
      </c>
      <c r="Q616" t="s">
        <v>1558</v>
      </c>
      <c r="R616" t="s">
        <v>1565</v>
      </c>
      <c r="S616" t="s">
        <v>1570</v>
      </c>
      <c r="T616">
        <v>2135109</v>
      </c>
      <c r="U616">
        <v>3</v>
      </c>
      <c r="V616" t="s">
        <v>1582</v>
      </c>
      <c r="W616" t="s">
        <v>1592</v>
      </c>
      <c r="X616">
        <v>10.52</v>
      </c>
    </row>
    <row r="617" spans="1:24" x14ac:dyDescent="0.25">
      <c r="A617" t="s">
        <v>637</v>
      </c>
      <c r="B617" s="4">
        <v>46072</v>
      </c>
      <c r="C617" s="4" t="str">
        <f t="shared" si="18"/>
        <v>Feb</v>
      </c>
      <c r="D617" t="s">
        <v>1522</v>
      </c>
      <c r="E617" t="s">
        <v>1526</v>
      </c>
      <c r="F617" t="s">
        <v>1533</v>
      </c>
      <c r="G617" t="s">
        <v>1538</v>
      </c>
      <c r="H617" t="s">
        <v>1551</v>
      </c>
      <c r="I617">
        <v>2024</v>
      </c>
      <c r="J617" t="s">
        <v>1554</v>
      </c>
      <c r="K617" t="s">
        <v>1557</v>
      </c>
      <c r="L617">
        <v>862785</v>
      </c>
      <c r="M617">
        <v>771540</v>
      </c>
      <c r="N617">
        <v>91245</v>
      </c>
      <c r="O617">
        <v>31</v>
      </c>
      <c r="P617" t="str">
        <f t="shared" si="19"/>
        <v>adult</v>
      </c>
      <c r="Q617" t="s">
        <v>1558</v>
      </c>
      <c r="R617" t="s">
        <v>1563</v>
      </c>
      <c r="S617" t="s">
        <v>1568</v>
      </c>
      <c r="T617">
        <v>693578</v>
      </c>
      <c r="U617">
        <v>2</v>
      </c>
      <c r="V617" t="s">
        <v>1589</v>
      </c>
      <c r="W617" t="s">
        <v>1591</v>
      </c>
      <c r="X617">
        <v>10.58</v>
      </c>
    </row>
    <row r="618" spans="1:24" x14ac:dyDescent="0.25">
      <c r="A618" t="s">
        <v>638</v>
      </c>
      <c r="B618" s="4">
        <v>45887</v>
      </c>
      <c r="C618" s="4" t="str">
        <f t="shared" si="18"/>
        <v>Aug</v>
      </c>
      <c r="D618" t="s">
        <v>1522</v>
      </c>
      <c r="E618" t="s">
        <v>1527</v>
      </c>
      <c r="F618" t="s">
        <v>1535</v>
      </c>
      <c r="G618" t="s">
        <v>1543</v>
      </c>
      <c r="H618" t="s">
        <v>1551</v>
      </c>
      <c r="I618">
        <v>2022</v>
      </c>
      <c r="J618" t="s">
        <v>1554</v>
      </c>
      <c r="K618" t="s">
        <v>1557</v>
      </c>
      <c r="L618">
        <v>830062</v>
      </c>
      <c r="M618">
        <v>740382</v>
      </c>
      <c r="N618">
        <v>89680</v>
      </c>
      <c r="O618">
        <v>35</v>
      </c>
      <c r="P618" t="str">
        <f t="shared" si="19"/>
        <v>adult</v>
      </c>
      <c r="Q618" t="s">
        <v>1558</v>
      </c>
      <c r="R618" t="s">
        <v>1562</v>
      </c>
      <c r="S618" t="s">
        <v>1569</v>
      </c>
      <c r="T618">
        <v>652233</v>
      </c>
      <c r="U618">
        <v>3</v>
      </c>
      <c r="V618" t="s">
        <v>1585</v>
      </c>
      <c r="W618" t="s">
        <v>1594</v>
      </c>
      <c r="X618">
        <v>10.8</v>
      </c>
    </row>
    <row r="619" spans="1:24" x14ac:dyDescent="0.25">
      <c r="A619" t="s">
        <v>639</v>
      </c>
      <c r="B619" s="4">
        <v>46033</v>
      </c>
      <c r="C619" s="4" t="str">
        <f t="shared" si="18"/>
        <v>Jan</v>
      </c>
      <c r="D619" t="s">
        <v>1522</v>
      </c>
      <c r="E619" t="s">
        <v>1523</v>
      </c>
      <c r="F619" t="s">
        <v>1528</v>
      </c>
      <c r="G619" t="s">
        <v>1544</v>
      </c>
      <c r="H619" t="s">
        <v>1550</v>
      </c>
      <c r="I619">
        <v>2024</v>
      </c>
      <c r="J619" t="s">
        <v>1554</v>
      </c>
      <c r="K619" t="s">
        <v>1556</v>
      </c>
      <c r="L619">
        <v>1715532</v>
      </c>
      <c r="M619">
        <v>1523923</v>
      </c>
      <c r="N619">
        <v>191609</v>
      </c>
      <c r="O619">
        <v>27</v>
      </c>
      <c r="P619" t="str">
        <f t="shared" si="19"/>
        <v>young</v>
      </c>
      <c r="Q619" t="s">
        <v>1558</v>
      </c>
      <c r="R619" t="s">
        <v>1562</v>
      </c>
      <c r="S619" t="s">
        <v>1568</v>
      </c>
      <c r="T619">
        <v>1500831</v>
      </c>
      <c r="U619">
        <v>1</v>
      </c>
      <c r="V619" t="s">
        <v>1581</v>
      </c>
      <c r="W619" t="s">
        <v>1591</v>
      </c>
      <c r="X619">
        <v>11.17</v>
      </c>
    </row>
    <row r="620" spans="1:24" x14ac:dyDescent="0.25">
      <c r="A620" t="s">
        <v>640</v>
      </c>
      <c r="B620" s="4">
        <v>46027</v>
      </c>
      <c r="C620" s="4" t="str">
        <f t="shared" si="18"/>
        <v>Jan</v>
      </c>
      <c r="D620" t="s">
        <v>1522</v>
      </c>
      <c r="E620" t="s">
        <v>1526</v>
      </c>
      <c r="F620" t="s">
        <v>1534</v>
      </c>
      <c r="G620" t="s">
        <v>1548</v>
      </c>
      <c r="H620" t="s">
        <v>4</v>
      </c>
      <c r="I620">
        <v>2024</v>
      </c>
      <c r="J620" t="s">
        <v>1554</v>
      </c>
      <c r="K620" t="s">
        <v>1556</v>
      </c>
      <c r="L620">
        <v>1426921</v>
      </c>
      <c r="M620">
        <v>1325794</v>
      </c>
      <c r="N620">
        <v>101127</v>
      </c>
      <c r="O620">
        <v>35</v>
      </c>
      <c r="P620" t="str">
        <f t="shared" si="19"/>
        <v>adult</v>
      </c>
      <c r="Q620" t="s">
        <v>1558</v>
      </c>
      <c r="R620" t="s">
        <v>1561</v>
      </c>
      <c r="S620" t="s">
        <v>1569</v>
      </c>
      <c r="T620">
        <v>191943</v>
      </c>
      <c r="U620">
        <v>5</v>
      </c>
      <c r="V620" t="s">
        <v>1581</v>
      </c>
      <c r="W620" t="s">
        <v>1591</v>
      </c>
      <c r="X620">
        <v>7.09</v>
      </c>
    </row>
    <row r="621" spans="1:24" x14ac:dyDescent="0.25">
      <c r="A621" t="s">
        <v>641</v>
      </c>
      <c r="B621" s="4">
        <v>45701</v>
      </c>
      <c r="C621" s="4" t="str">
        <f t="shared" si="18"/>
        <v>Feb</v>
      </c>
      <c r="D621" t="s">
        <v>1522</v>
      </c>
      <c r="E621" t="s">
        <v>1523</v>
      </c>
      <c r="F621" t="s">
        <v>1535</v>
      </c>
      <c r="G621" t="s">
        <v>1539</v>
      </c>
      <c r="H621" t="s">
        <v>4</v>
      </c>
      <c r="I621">
        <v>2026</v>
      </c>
      <c r="J621" t="s">
        <v>1554</v>
      </c>
      <c r="K621" t="s">
        <v>1557</v>
      </c>
      <c r="L621">
        <v>1302263</v>
      </c>
      <c r="M621">
        <v>1084931</v>
      </c>
      <c r="N621">
        <v>217332</v>
      </c>
      <c r="O621">
        <v>29</v>
      </c>
      <c r="P621" t="str">
        <f t="shared" si="19"/>
        <v>young</v>
      </c>
      <c r="Q621" t="s">
        <v>1558</v>
      </c>
      <c r="R621" t="s">
        <v>1566</v>
      </c>
      <c r="S621" t="s">
        <v>1567</v>
      </c>
      <c r="T621">
        <v>1892531</v>
      </c>
      <c r="U621">
        <v>5</v>
      </c>
      <c r="V621" t="s">
        <v>1578</v>
      </c>
      <c r="W621" t="s">
        <v>1591</v>
      </c>
      <c r="X621">
        <v>16.690000000000001</v>
      </c>
    </row>
    <row r="622" spans="1:24" x14ac:dyDescent="0.25">
      <c r="A622" t="s">
        <v>642</v>
      </c>
      <c r="B622" s="4">
        <v>45869</v>
      </c>
      <c r="C622" s="4" t="str">
        <f t="shared" si="18"/>
        <v>Jul</v>
      </c>
      <c r="D622" t="s">
        <v>1522</v>
      </c>
      <c r="E622" t="s">
        <v>1526</v>
      </c>
      <c r="F622" t="s">
        <v>1533</v>
      </c>
      <c r="G622" t="s">
        <v>1547</v>
      </c>
      <c r="H622" t="s">
        <v>1550</v>
      </c>
      <c r="I622">
        <v>2024</v>
      </c>
      <c r="J622" t="s">
        <v>1554</v>
      </c>
      <c r="K622" t="s">
        <v>1556</v>
      </c>
      <c r="L622">
        <v>1202840</v>
      </c>
      <c r="M622">
        <v>1067386</v>
      </c>
      <c r="N622">
        <v>135454</v>
      </c>
      <c r="O622">
        <v>43</v>
      </c>
      <c r="P622" t="str">
        <f t="shared" si="19"/>
        <v>adult</v>
      </c>
      <c r="Q622" t="s">
        <v>1558</v>
      </c>
      <c r="R622" t="s">
        <v>1562</v>
      </c>
      <c r="S622" t="s">
        <v>1569</v>
      </c>
      <c r="T622">
        <v>710982</v>
      </c>
      <c r="U622">
        <v>5</v>
      </c>
      <c r="V622" t="s">
        <v>1579</v>
      </c>
      <c r="W622" t="s">
        <v>1594</v>
      </c>
      <c r="X622">
        <v>11.26</v>
      </c>
    </row>
    <row r="623" spans="1:24" x14ac:dyDescent="0.25">
      <c r="A623" t="s">
        <v>643</v>
      </c>
      <c r="B623" s="4">
        <v>45726</v>
      </c>
      <c r="C623" s="4" t="str">
        <f t="shared" si="18"/>
        <v>Mar</v>
      </c>
      <c r="D623" t="s">
        <v>1522</v>
      </c>
      <c r="E623" t="s">
        <v>1526</v>
      </c>
      <c r="F623" t="s">
        <v>1536</v>
      </c>
      <c r="G623" t="s">
        <v>1541</v>
      </c>
      <c r="H623" t="s">
        <v>1550</v>
      </c>
      <c r="I623">
        <v>2024</v>
      </c>
      <c r="J623" t="s">
        <v>1554</v>
      </c>
      <c r="K623" t="s">
        <v>1556</v>
      </c>
      <c r="L623">
        <v>1588735</v>
      </c>
      <c r="M623">
        <v>1304835</v>
      </c>
      <c r="N623">
        <v>283900</v>
      </c>
      <c r="O623">
        <v>50</v>
      </c>
      <c r="P623" t="str">
        <f t="shared" si="19"/>
        <v>adult</v>
      </c>
      <c r="Q623" t="s">
        <v>1558</v>
      </c>
      <c r="R623" t="s">
        <v>1561</v>
      </c>
      <c r="S623" t="s">
        <v>1567</v>
      </c>
      <c r="T623">
        <v>581534</v>
      </c>
      <c r="U623">
        <v>3</v>
      </c>
      <c r="V623" t="s">
        <v>1588</v>
      </c>
      <c r="W623" t="s">
        <v>1591</v>
      </c>
      <c r="X623">
        <v>17.87</v>
      </c>
    </row>
    <row r="624" spans="1:24" x14ac:dyDescent="0.25">
      <c r="A624" t="s">
        <v>644</v>
      </c>
      <c r="B624" s="4">
        <v>45689</v>
      </c>
      <c r="C624" s="4" t="str">
        <f t="shared" si="18"/>
        <v>Feb</v>
      </c>
      <c r="D624" t="s">
        <v>1522</v>
      </c>
      <c r="E624" t="s">
        <v>1526</v>
      </c>
      <c r="F624" t="s">
        <v>1534</v>
      </c>
      <c r="G624" t="s">
        <v>1546</v>
      </c>
      <c r="H624" t="s">
        <v>1550</v>
      </c>
      <c r="I624">
        <v>2026</v>
      </c>
      <c r="J624" t="s">
        <v>1554</v>
      </c>
      <c r="K624" t="s">
        <v>1557</v>
      </c>
      <c r="L624">
        <v>1454281</v>
      </c>
      <c r="M624">
        <v>1308361</v>
      </c>
      <c r="N624">
        <v>145920</v>
      </c>
      <c r="O624">
        <v>34</v>
      </c>
      <c r="P624" t="str">
        <f t="shared" si="19"/>
        <v>adult</v>
      </c>
      <c r="Q624" t="s">
        <v>1558</v>
      </c>
      <c r="R624" t="s">
        <v>1565</v>
      </c>
      <c r="S624" t="s">
        <v>1567</v>
      </c>
      <c r="T624">
        <v>799456</v>
      </c>
      <c r="U624">
        <v>5</v>
      </c>
      <c r="V624" t="s">
        <v>1578</v>
      </c>
      <c r="W624" t="s">
        <v>1591</v>
      </c>
      <c r="X624">
        <v>10.029999999999999</v>
      </c>
    </row>
    <row r="625" spans="1:24" x14ac:dyDescent="0.25">
      <c r="A625" t="s">
        <v>645</v>
      </c>
      <c r="B625" s="4">
        <v>46111</v>
      </c>
      <c r="C625" s="4" t="str">
        <f t="shared" si="18"/>
        <v>Mar</v>
      </c>
      <c r="D625" t="s">
        <v>1522</v>
      </c>
      <c r="E625" t="s">
        <v>1527</v>
      </c>
      <c r="F625" t="s">
        <v>1534</v>
      </c>
      <c r="G625" t="s">
        <v>1538</v>
      </c>
      <c r="H625" t="s">
        <v>1551</v>
      </c>
      <c r="I625">
        <v>2025</v>
      </c>
      <c r="J625" t="s">
        <v>1554</v>
      </c>
      <c r="K625" t="s">
        <v>1557</v>
      </c>
      <c r="L625">
        <v>807451</v>
      </c>
      <c r="M625">
        <v>712410</v>
      </c>
      <c r="N625">
        <v>95041</v>
      </c>
      <c r="O625">
        <v>39</v>
      </c>
      <c r="P625" t="str">
        <f t="shared" si="19"/>
        <v>adult</v>
      </c>
      <c r="Q625" t="s">
        <v>1558</v>
      </c>
      <c r="R625" t="s">
        <v>1563</v>
      </c>
      <c r="S625" t="s">
        <v>1568</v>
      </c>
      <c r="T625">
        <v>251824</v>
      </c>
      <c r="U625">
        <v>3</v>
      </c>
      <c r="V625" t="s">
        <v>1586</v>
      </c>
      <c r="W625" t="s">
        <v>1591</v>
      </c>
      <c r="X625">
        <v>11.77</v>
      </c>
    </row>
    <row r="626" spans="1:24" x14ac:dyDescent="0.25">
      <c r="A626" t="s">
        <v>646</v>
      </c>
      <c r="B626" s="4">
        <v>46033</v>
      </c>
      <c r="C626" s="4" t="str">
        <f t="shared" si="18"/>
        <v>Jan</v>
      </c>
      <c r="D626" t="s">
        <v>1522</v>
      </c>
      <c r="E626" t="s">
        <v>1526</v>
      </c>
      <c r="F626" t="s">
        <v>1534</v>
      </c>
      <c r="G626" t="s">
        <v>1541</v>
      </c>
      <c r="H626" t="s">
        <v>1550</v>
      </c>
      <c r="I626">
        <v>2024</v>
      </c>
      <c r="J626" t="s">
        <v>1554</v>
      </c>
      <c r="K626" t="s">
        <v>1556</v>
      </c>
      <c r="L626">
        <v>1494604</v>
      </c>
      <c r="M626">
        <v>1340529</v>
      </c>
      <c r="N626">
        <v>154075</v>
      </c>
      <c r="O626">
        <v>51</v>
      </c>
      <c r="P626" t="str">
        <f t="shared" si="19"/>
        <v>senior</v>
      </c>
      <c r="Q626" t="s">
        <v>1559</v>
      </c>
      <c r="R626" t="s">
        <v>1565</v>
      </c>
      <c r="S626" t="s">
        <v>1568</v>
      </c>
      <c r="T626">
        <v>379138</v>
      </c>
      <c r="U626">
        <v>4</v>
      </c>
      <c r="V626" t="s">
        <v>1581</v>
      </c>
      <c r="W626" t="s">
        <v>1591</v>
      </c>
      <c r="X626">
        <v>10.31</v>
      </c>
    </row>
    <row r="627" spans="1:24" x14ac:dyDescent="0.25">
      <c r="A627" t="s">
        <v>647</v>
      </c>
      <c r="B627" s="4">
        <v>45935</v>
      </c>
      <c r="C627" s="4" t="str">
        <f t="shared" si="18"/>
        <v>Oct</v>
      </c>
      <c r="D627" t="s">
        <v>1522</v>
      </c>
      <c r="E627" t="s">
        <v>1523</v>
      </c>
      <c r="F627" t="s">
        <v>1534</v>
      </c>
      <c r="G627" t="s">
        <v>1538</v>
      </c>
      <c r="H627" t="s">
        <v>1550</v>
      </c>
      <c r="I627">
        <v>2026</v>
      </c>
      <c r="J627" t="s">
        <v>1554</v>
      </c>
      <c r="K627" t="s">
        <v>1556</v>
      </c>
      <c r="L627">
        <v>1297796</v>
      </c>
      <c r="M627">
        <v>1188593</v>
      </c>
      <c r="N627">
        <v>109203</v>
      </c>
      <c r="O627">
        <v>54</v>
      </c>
      <c r="P627" t="str">
        <f t="shared" si="19"/>
        <v>senior</v>
      </c>
      <c r="Q627" t="s">
        <v>1559</v>
      </c>
      <c r="R627" t="s">
        <v>1561</v>
      </c>
      <c r="S627" t="s">
        <v>1569</v>
      </c>
      <c r="T627">
        <v>1606442</v>
      </c>
      <c r="U627">
        <v>5</v>
      </c>
      <c r="V627" t="s">
        <v>1574</v>
      </c>
      <c r="W627" t="s">
        <v>1593</v>
      </c>
      <c r="X627">
        <v>8.41</v>
      </c>
    </row>
    <row r="628" spans="1:24" x14ac:dyDescent="0.25">
      <c r="A628" t="s">
        <v>648</v>
      </c>
      <c r="B628" s="4">
        <v>45835</v>
      </c>
      <c r="C628" s="4" t="str">
        <f t="shared" si="18"/>
        <v>Jun</v>
      </c>
      <c r="D628" t="s">
        <v>1522</v>
      </c>
      <c r="E628" t="s">
        <v>1524</v>
      </c>
      <c r="F628" t="s">
        <v>1534</v>
      </c>
      <c r="G628" t="s">
        <v>1545</v>
      </c>
      <c r="H628" t="s">
        <v>4</v>
      </c>
      <c r="I628">
        <v>2022</v>
      </c>
      <c r="J628" t="s">
        <v>1553</v>
      </c>
      <c r="K628" t="s">
        <v>1556</v>
      </c>
      <c r="L628">
        <v>1822360</v>
      </c>
      <c r="M628">
        <v>1474535</v>
      </c>
      <c r="N628">
        <v>347825</v>
      </c>
      <c r="O628">
        <v>23</v>
      </c>
      <c r="P628" t="str">
        <f t="shared" si="19"/>
        <v>young</v>
      </c>
      <c r="Q628" t="s">
        <v>1559</v>
      </c>
      <c r="R628" t="s">
        <v>1561</v>
      </c>
      <c r="S628" t="s">
        <v>1570</v>
      </c>
      <c r="T628">
        <v>216553</v>
      </c>
      <c r="U628">
        <v>5</v>
      </c>
      <c r="V628" t="s">
        <v>1584</v>
      </c>
      <c r="W628" t="s">
        <v>1592</v>
      </c>
      <c r="X628">
        <v>19.09</v>
      </c>
    </row>
    <row r="629" spans="1:24" x14ac:dyDescent="0.25">
      <c r="A629" t="s">
        <v>649</v>
      </c>
      <c r="B629" s="4">
        <v>46229</v>
      </c>
      <c r="C629" s="4" t="str">
        <f t="shared" si="18"/>
        <v>Jul</v>
      </c>
      <c r="D629" t="s">
        <v>1522</v>
      </c>
      <c r="E629" t="s">
        <v>1526</v>
      </c>
      <c r="F629" t="s">
        <v>1529</v>
      </c>
      <c r="G629" t="s">
        <v>1542</v>
      </c>
      <c r="H629" t="s">
        <v>1550</v>
      </c>
      <c r="I629">
        <v>2025</v>
      </c>
      <c r="J629" t="s">
        <v>1554</v>
      </c>
      <c r="K629" t="s">
        <v>1557</v>
      </c>
      <c r="L629">
        <v>1235699</v>
      </c>
      <c r="M629">
        <v>1024539</v>
      </c>
      <c r="N629">
        <v>211160</v>
      </c>
      <c r="O629">
        <v>23</v>
      </c>
      <c r="P629" t="str">
        <f t="shared" si="19"/>
        <v>young</v>
      </c>
      <c r="Q629" t="s">
        <v>1558</v>
      </c>
      <c r="R629" t="s">
        <v>1564</v>
      </c>
      <c r="S629" t="s">
        <v>1568</v>
      </c>
      <c r="T629">
        <v>1335574</v>
      </c>
      <c r="U629">
        <v>2</v>
      </c>
      <c r="V629" t="s">
        <v>1587</v>
      </c>
      <c r="W629" t="s">
        <v>1594</v>
      </c>
      <c r="X629">
        <v>17.09</v>
      </c>
    </row>
    <row r="630" spans="1:24" x14ac:dyDescent="0.25">
      <c r="A630" t="s">
        <v>650</v>
      </c>
      <c r="B630" s="4">
        <v>46128</v>
      </c>
      <c r="C630" s="4" t="str">
        <f t="shared" si="18"/>
        <v>Apr</v>
      </c>
      <c r="D630" t="s">
        <v>1522</v>
      </c>
      <c r="E630" t="s">
        <v>1524</v>
      </c>
      <c r="F630" t="s">
        <v>1534</v>
      </c>
      <c r="G630" t="s">
        <v>1543</v>
      </c>
      <c r="H630" t="s">
        <v>1552</v>
      </c>
      <c r="I630">
        <v>2022</v>
      </c>
      <c r="J630" t="s">
        <v>1555</v>
      </c>
      <c r="K630" t="s">
        <v>1556</v>
      </c>
      <c r="L630">
        <v>1922126</v>
      </c>
      <c r="M630">
        <v>1755831</v>
      </c>
      <c r="N630">
        <v>166295</v>
      </c>
      <c r="O630">
        <v>33</v>
      </c>
      <c r="P630" t="str">
        <f t="shared" si="19"/>
        <v>adult</v>
      </c>
      <c r="Q630" t="s">
        <v>1558</v>
      </c>
      <c r="R630" t="s">
        <v>1565</v>
      </c>
      <c r="S630" t="s">
        <v>1570</v>
      </c>
      <c r="T630">
        <v>1031415</v>
      </c>
      <c r="U630">
        <v>1</v>
      </c>
      <c r="V630" t="s">
        <v>1580</v>
      </c>
      <c r="W630" t="s">
        <v>1592</v>
      </c>
      <c r="X630">
        <v>8.65</v>
      </c>
    </row>
    <row r="631" spans="1:24" x14ac:dyDescent="0.25">
      <c r="A631" t="s">
        <v>651</v>
      </c>
      <c r="B631" s="4">
        <v>45993</v>
      </c>
      <c r="C631" s="4" t="str">
        <f t="shared" si="18"/>
        <v>Dec</v>
      </c>
      <c r="D631" t="s">
        <v>1522</v>
      </c>
      <c r="E631" t="s">
        <v>1525</v>
      </c>
      <c r="F631" t="s">
        <v>1535</v>
      </c>
      <c r="G631" t="s">
        <v>1549</v>
      </c>
      <c r="H631" t="s">
        <v>4</v>
      </c>
      <c r="I631">
        <v>2023</v>
      </c>
      <c r="J631" t="s">
        <v>1554</v>
      </c>
      <c r="K631" t="s">
        <v>1556</v>
      </c>
      <c r="L631">
        <v>1769928</v>
      </c>
      <c r="M631">
        <v>1445624</v>
      </c>
      <c r="N631">
        <v>324304</v>
      </c>
      <c r="O631">
        <v>45</v>
      </c>
      <c r="P631" t="str">
        <f t="shared" si="19"/>
        <v>adult</v>
      </c>
      <c r="Q631" t="s">
        <v>1558</v>
      </c>
      <c r="R631" t="s">
        <v>1562</v>
      </c>
      <c r="S631" t="s">
        <v>1569</v>
      </c>
      <c r="T631">
        <v>726434</v>
      </c>
      <c r="U631">
        <v>3</v>
      </c>
      <c r="V631" t="s">
        <v>1575</v>
      </c>
      <c r="W631" t="s">
        <v>1593</v>
      </c>
      <c r="X631">
        <v>18.32</v>
      </c>
    </row>
    <row r="632" spans="1:24" x14ac:dyDescent="0.25">
      <c r="A632" t="s">
        <v>652</v>
      </c>
      <c r="B632" s="4">
        <v>45772</v>
      </c>
      <c r="C632" s="4" t="str">
        <f t="shared" si="18"/>
        <v>Apr</v>
      </c>
      <c r="D632" t="s">
        <v>1522</v>
      </c>
      <c r="E632" t="s">
        <v>1525</v>
      </c>
      <c r="F632" t="s">
        <v>1537</v>
      </c>
      <c r="G632" t="s">
        <v>1541</v>
      </c>
      <c r="H632" t="s">
        <v>4</v>
      </c>
      <c r="I632">
        <v>2026</v>
      </c>
      <c r="J632" t="s">
        <v>1554</v>
      </c>
      <c r="K632" t="s">
        <v>1557</v>
      </c>
      <c r="L632">
        <v>1319425</v>
      </c>
      <c r="M632">
        <v>1110673</v>
      </c>
      <c r="N632">
        <v>208752</v>
      </c>
      <c r="O632">
        <v>44</v>
      </c>
      <c r="P632" t="str">
        <f t="shared" si="19"/>
        <v>adult</v>
      </c>
      <c r="Q632" t="s">
        <v>1558</v>
      </c>
      <c r="R632" t="s">
        <v>1562</v>
      </c>
      <c r="S632" t="s">
        <v>1570</v>
      </c>
      <c r="T632">
        <v>1811543</v>
      </c>
      <c r="U632">
        <v>3</v>
      </c>
      <c r="V632" t="s">
        <v>1573</v>
      </c>
      <c r="W632" t="s">
        <v>1592</v>
      </c>
      <c r="X632">
        <v>15.82</v>
      </c>
    </row>
    <row r="633" spans="1:24" x14ac:dyDescent="0.25">
      <c r="A633" t="s">
        <v>653</v>
      </c>
      <c r="B633" s="4">
        <v>45730</v>
      </c>
      <c r="C633" s="4" t="str">
        <f t="shared" si="18"/>
        <v>Mar</v>
      </c>
      <c r="D633" t="s">
        <v>1522</v>
      </c>
      <c r="E633" t="s">
        <v>1527</v>
      </c>
      <c r="F633" t="s">
        <v>1530</v>
      </c>
      <c r="G633" t="s">
        <v>1549</v>
      </c>
      <c r="H633" t="s">
        <v>1551</v>
      </c>
      <c r="I633">
        <v>2026</v>
      </c>
      <c r="J633" t="s">
        <v>1554</v>
      </c>
      <c r="K633" t="s">
        <v>1556</v>
      </c>
      <c r="L633">
        <v>1006150</v>
      </c>
      <c r="M633">
        <v>897109</v>
      </c>
      <c r="N633">
        <v>109041</v>
      </c>
      <c r="O633">
        <v>31</v>
      </c>
      <c r="P633" t="str">
        <f t="shared" si="19"/>
        <v>adult</v>
      </c>
      <c r="Q633" t="s">
        <v>1559</v>
      </c>
      <c r="R633" t="s">
        <v>1566</v>
      </c>
      <c r="S633" t="s">
        <v>1570</v>
      </c>
      <c r="T633">
        <v>765456</v>
      </c>
      <c r="U633">
        <v>3</v>
      </c>
      <c r="V633" t="s">
        <v>1588</v>
      </c>
      <c r="W633" t="s">
        <v>1591</v>
      </c>
      <c r="X633">
        <v>10.84</v>
      </c>
    </row>
    <row r="634" spans="1:24" x14ac:dyDescent="0.25">
      <c r="A634" t="s">
        <v>654</v>
      </c>
      <c r="B634" s="4">
        <v>46001</v>
      </c>
      <c r="C634" s="4" t="str">
        <f t="shared" si="18"/>
        <v>Dec</v>
      </c>
      <c r="D634" t="s">
        <v>1522</v>
      </c>
      <c r="E634" t="s">
        <v>1523</v>
      </c>
      <c r="F634" t="s">
        <v>1532</v>
      </c>
      <c r="G634" t="s">
        <v>1540</v>
      </c>
      <c r="H634" t="s">
        <v>1550</v>
      </c>
      <c r="I634">
        <v>2025</v>
      </c>
      <c r="J634" t="s">
        <v>1554</v>
      </c>
      <c r="K634" t="s">
        <v>1556</v>
      </c>
      <c r="L634">
        <v>1591582</v>
      </c>
      <c r="M634">
        <v>1327816</v>
      </c>
      <c r="N634">
        <v>263766</v>
      </c>
      <c r="O634">
        <v>42</v>
      </c>
      <c r="P634" t="str">
        <f t="shared" si="19"/>
        <v>adult</v>
      </c>
      <c r="Q634" t="s">
        <v>1558</v>
      </c>
      <c r="R634" t="s">
        <v>1561</v>
      </c>
      <c r="S634" t="s">
        <v>1568</v>
      </c>
      <c r="T634">
        <v>442580</v>
      </c>
      <c r="U634">
        <v>1</v>
      </c>
      <c r="V634" t="s">
        <v>1575</v>
      </c>
      <c r="W634" t="s">
        <v>1593</v>
      </c>
      <c r="X634">
        <v>16.57</v>
      </c>
    </row>
    <row r="635" spans="1:24" x14ac:dyDescent="0.25">
      <c r="A635" t="s">
        <v>655</v>
      </c>
      <c r="B635" s="4">
        <v>45664</v>
      </c>
      <c r="C635" s="4" t="str">
        <f t="shared" si="18"/>
        <v>Jan</v>
      </c>
      <c r="D635" t="s">
        <v>1522</v>
      </c>
      <c r="E635" t="s">
        <v>1523</v>
      </c>
      <c r="F635" t="s">
        <v>1535</v>
      </c>
      <c r="G635" t="s">
        <v>1540</v>
      </c>
      <c r="H635" t="s">
        <v>1551</v>
      </c>
      <c r="I635">
        <v>2024</v>
      </c>
      <c r="J635" t="s">
        <v>1554</v>
      </c>
      <c r="K635" t="s">
        <v>1556</v>
      </c>
      <c r="L635">
        <v>814034</v>
      </c>
      <c r="M635">
        <v>799034</v>
      </c>
      <c r="N635">
        <v>15000</v>
      </c>
      <c r="O635">
        <v>36</v>
      </c>
      <c r="P635" t="str">
        <f t="shared" si="19"/>
        <v>adult</v>
      </c>
      <c r="Q635" t="s">
        <v>1558</v>
      </c>
      <c r="R635" t="s">
        <v>1564</v>
      </c>
      <c r="S635" t="s">
        <v>1568</v>
      </c>
      <c r="T635">
        <v>1402499</v>
      </c>
      <c r="U635">
        <v>2</v>
      </c>
      <c r="V635" t="s">
        <v>1571</v>
      </c>
      <c r="W635" t="s">
        <v>1591</v>
      </c>
      <c r="X635">
        <v>1.84</v>
      </c>
    </row>
    <row r="636" spans="1:24" x14ac:dyDescent="0.25">
      <c r="A636" t="s">
        <v>656</v>
      </c>
      <c r="B636" s="4">
        <v>45894</v>
      </c>
      <c r="C636" s="4" t="str">
        <f t="shared" si="18"/>
        <v>Aug</v>
      </c>
      <c r="D636" t="s">
        <v>1522</v>
      </c>
      <c r="E636" t="s">
        <v>1523</v>
      </c>
      <c r="F636" t="s">
        <v>1528</v>
      </c>
      <c r="G636" t="s">
        <v>1544</v>
      </c>
      <c r="H636" t="s">
        <v>1552</v>
      </c>
      <c r="I636">
        <v>2026</v>
      </c>
      <c r="J636" t="s">
        <v>1555</v>
      </c>
      <c r="K636" t="s">
        <v>1556</v>
      </c>
      <c r="L636">
        <v>1944998</v>
      </c>
      <c r="M636">
        <v>1775629</v>
      </c>
      <c r="N636">
        <v>169369</v>
      </c>
      <c r="O636">
        <v>65</v>
      </c>
      <c r="P636" t="str">
        <f t="shared" si="19"/>
        <v>senior</v>
      </c>
      <c r="Q636" t="s">
        <v>1558</v>
      </c>
      <c r="R636" t="s">
        <v>1563</v>
      </c>
      <c r="S636" t="s">
        <v>1569</v>
      </c>
      <c r="T636">
        <v>612445</v>
      </c>
      <c r="U636">
        <v>1</v>
      </c>
      <c r="V636" t="s">
        <v>1585</v>
      </c>
      <c r="W636" t="s">
        <v>1594</v>
      </c>
      <c r="X636">
        <v>8.7100000000000009</v>
      </c>
    </row>
    <row r="637" spans="1:24" x14ac:dyDescent="0.25">
      <c r="A637" t="s">
        <v>657</v>
      </c>
      <c r="B637" s="4">
        <v>46122</v>
      </c>
      <c r="C637" s="4" t="str">
        <f t="shared" si="18"/>
        <v>Apr</v>
      </c>
      <c r="D637" t="s">
        <v>1522</v>
      </c>
      <c r="E637" t="s">
        <v>1527</v>
      </c>
      <c r="F637" t="s">
        <v>1537</v>
      </c>
      <c r="G637" t="s">
        <v>1539</v>
      </c>
      <c r="H637" t="s">
        <v>1552</v>
      </c>
      <c r="I637">
        <v>2024</v>
      </c>
      <c r="J637" t="s">
        <v>1555</v>
      </c>
      <c r="K637" t="s">
        <v>1556</v>
      </c>
      <c r="L637">
        <v>1914802</v>
      </c>
      <c r="M637">
        <v>1692578</v>
      </c>
      <c r="N637">
        <v>222224</v>
      </c>
      <c r="O637">
        <v>33</v>
      </c>
      <c r="P637" t="str">
        <f t="shared" si="19"/>
        <v>adult</v>
      </c>
      <c r="Q637" t="s">
        <v>1558</v>
      </c>
      <c r="R637" t="s">
        <v>1566</v>
      </c>
      <c r="S637" t="s">
        <v>1570</v>
      </c>
      <c r="T637">
        <v>556090</v>
      </c>
      <c r="U637">
        <v>2</v>
      </c>
      <c r="V637" t="s">
        <v>1580</v>
      </c>
      <c r="W637" t="s">
        <v>1592</v>
      </c>
      <c r="X637">
        <v>11.61</v>
      </c>
    </row>
    <row r="638" spans="1:24" x14ac:dyDescent="0.25">
      <c r="A638" t="s">
        <v>658</v>
      </c>
      <c r="B638" s="4">
        <v>45917</v>
      </c>
      <c r="C638" s="4" t="str">
        <f t="shared" si="18"/>
        <v>Sep</v>
      </c>
      <c r="D638" t="s">
        <v>1522</v>
      </c>
      <c r="E638" t="s">
        <v>1527</v>
      </c>
      <c r="F638" t="s">
        <v>1528</v>
      </c>
      <c r="G638" t="s">
        <v>1539</v>
      </c>
      <c r="H638" t="s">
        <v>1550</v>
      </c>
      <c r="I638">
        <v>2025</v>
      </c>
      <c r="J638" t="s">
        <v>1554</v>
      </c>
      <c r="K638" t="s">
        <v>1557</v>
      </c>
      <c r="L638">
        <v>1238847</v>
      </c>
      <c r="M638">
        <v>1071388</v>
      </c>
      <c r="N638">
        <v>167459</v>
      </c>
      <c r="O638">
        <v>60</v>
      </c>
      <c r="P638" t="str">
        <f t="shared" si="19"/>
        <v>senior</v>
      </c>
      <c r="Q638" t="s">
        <v>1558</v>
      </c>
      <c r="R638" t="s">
        <v>1564</v>
      </c>
      <c r="S638" t="s">
        <v>1567</v>
      </c>
      <c r="T638">
        <v>1948589</v>
      </c>
      <c r="U638">
        <v>2</v>
      </c>
      <c r="V638" t="s">
        <v>1577</v>
      </c>
      <c r="W638" t="s">
        <v>1594</v>
      </c>
      <c r="X638">
        <v>13.52</v>
      </c>
    </row>
    <row r="639" spans="1:24" x14ac:dyDescent="0.25">
      <c r="A639" t="s">
        <v>659</v>
      </c>
      <c r="B639" s="4">
        <v>46249</v>
      </c>
      <c r="C639" s="4" t="str">
        <f t="shared" si="18"/>
        <v>Aug</v>
      </c>
      <c r="D639" t="s">
        <v>1522</v>
      </c>
      <c r="E639" t="s">
        <v>1527</v>
      </c>
      <c r="F639" t="s">
        <v>1535</v>
      </c>
      <c r="G639" t="s">
        <v>1547</v>
      </c>
      <c r="H639" t="s">
        <v>1550</v>
      </c>
      <c r="I639">
        <v>2023</v>
      </c>
      <c r="J639" t="s">
        <v>1554</v>
      </c>
      <c r="K639" t="s">
        <v>1557</v>
      </c>
      <c r="L639">
        <v>1440613</v>
      </c>
      <c r="M639">
        <v>1313268</v>
      </c>
      <c r="N639">
        <v>127345</v>
      </c>
      <c r="O639">
        <v>43</v>
      </c>
      <c r="P639" t="str">
        <f t="shared" si="19"/>
        <v>adult</v>
      </c>
      <c r="Q639" t="s">
        <v>1558</v>
      </c>
      <c r="R639" t="s">
        <v>1565</v>
      </c>
      <c r="S639" t="s">
        <v>1567</v>
      </c>
      <c r="T639">
        <v>535077</v>
      </c>
      <c r="U639">
        <v>3</v>
      </c>
      <c r="V639" t="s">
        <v>1576</v>
      </c>
      <c r="W639" t="s">
        <v>1594</v>
      </c>
      <c r="X639">
        <v>8.84</v>
      </c>
    </row>
    <row r="640" spans="1:24" x14ac:dyDescent="0.25">
      <c r="A640" t="s">
        <v>660</v>
      </c>
      <c r="B640" s="4">
        <v>46094</v>
      </c>
      <c r="C640" s="4" t="str">
        <f t="shared" si="18"/>
        <v>Mar</v>
      </c>
      <c r="D640" t="s">
        <v>1522</v>
      </c>
      <c r="E640" t="s">
        <v>1525</v>
      </c>
      <c r="F640" t="s">
        <v>1537</v>
      </c>
      <c r="G640" t="s">
        <v>1547</v>
      </c>
      <c r="H640" t="s">
        <v>4</v>
      </c>
      <c r="I640">
        <v>2025</v>
      </c>
      <c r="J640" t="s">
        <v>1554</v>
      </c>
      <c r="K640" t="s">
        <v>1556</v>
      </c>
      <c r="L640">
        <v>1449456</v>
      </c>
      <c r="M640">
        <v>1268332</v>
      </c>
      <c r="N640">
        <v>181124</v>
      </c>
      <c r="O640">
        <v>61</v>
      </c>
      <c r="P640" t="str">
        <f t="shared" si="19"/>
        <v>senior</v>
      </c>
      <c r="Q640" t="s">
        <v>1558</v>
      </c>
      <c r="R640" t="s">
        <v>1566</v>
      </c>
      <c r="S640" t="s">
        <v>1570</v>
      </c>
      <c r="T640">
        <v>1117714</v>
      </c>
      <c r="U640">
        <v>2</v>
      </c>
      <c r="V640" t="s">
        <v>1586</v>
      </c>
      <c r="W640" t="s">
        <v>1591</v>
      </c>
      <c r="X640">
        <v>12.5</v>
      </c>
    </row>
    <row r="641" spans="1:24" x14ac:dyDescent="0.25">
      <c r="A641" t="s">
        <v>661</v>
      </c>
      <c r="B641" s="4">
        <v>46145</v>
      </c>
      <c r="C641" s="4" t="str">
        <f t="shared" si="18"/>
        <v>May</v>
      </c>
      <c r="D641" t="s">
        <v>1522</v>
      </c>
      <c r="E641" t="s">
        <v>1526</v>
      </c>
      <c r="F641" t="s">
        <v>1536</v>
      </c>
      <c r="G641" t="s">
        <v>1547</v>
      </c>
      <c r="H641" t="s">
        <v>4</v>
      </c>
      <c r="I641">
        <v>2023</v>
      </c>
      <c r="J641" t="s">
        <v>1554</v>
      </c>
      <c r="K641" t="s">
        <v>1557</v>
      </c>
      <c r="L641">
        <v>1224244</v>
      </c>
      <c r="M641">
        <v>1095387</v>
      </c>
      <c r="N641">
        <v>128857</v>
      </c>
      <c r="O641">
        <v>39</v>
      </c>
      <c r="P641" t="str">
        <f t="shared" si="19"/>
        <v>adult</v>
      </c>
      <c r="Q641" t="s">
        <v>1558</v>
      </c>
      <c r="R641" t="s">
        <v>1564</v>
      </c>
      <c r="S641" t="s">
        <v>1567</v>
      </c>
      <c r="T641">
        <v>1013588</v>
      </c>
      <c r="U641">
        <v>5</v>
      </c>
      <c r="V641" t="s">
        <v>1590</v>
      </c>
      <c r="W641" t="s">
        <v>1592</v>
      </c>
      <c r="X641">
        <v>10.53</v>
      </c>
    </row>
    <row r="642" spans="1:24" x14ac:dyDescent="0.25">
      <c r="A642" t="s">
        <v>662</v>
      </c>
      <c r="B642" s="4">
        <v>46227</v>
      </c>
      <c r="C642" s="4" t="str">
        <f t="shared" si="18"/>
        <v>Jul</v>
      </c>
      <c r="D642" t="s">
        <v>1522</v>
      </c>
      <c r="E642" t="s">
        <v>1525</v>
      </c>
      <c r="F642" t="s">
        <v>1536</v>
      </c>
      <c r="G642" t="s">
        <v>1540</v>
      </c>
      <c r="H642" t="s">
        <v>1550</v>
      </c>
      <c r="I642">
        <v>2024</v>
      </c>
      <c r="J642" t="s">
        <v>1554</v>
      </c>
      <c r="K642" t="s">
        <v>1556</v>
      </c>
      <c r="L642">
        <v>1559645</v>
      </c>
      <c r="M642">
        <v>1455072</v>
      </c>
      <c r="N642">
        <v>104573</v>
      </c>
      <c r="O642">
        <v>31</v>
      </c>
      <c r="P642" t="str">
        <f t="shared" si="19"/>
        <v>adult</v>
      </c>
      <c r="Q642" t="s">
        <v>1558</v>
      </c>
      <c r="R642" t="s">
        <v>1565</v>
      </c>
      <c r="S642" t="s">
        <v>1568</v>
      </c>
      <c r="T642">
        <v>410099</v>
      </c>
      <c r="U642">
        <v>1</v>
      </c>
      <c r="V642" t="s">
        <v>1587</v>
      </c>
      <c r="W642" t="s">
        <v>1594</v>
      </c>
      <c r="X642">
        <v>6.7</v>
      </c>
    </row>
    <row r="643" spans="1:24" x14ac:dyDescent="0.25">
      <c r="A643" t="s">
        <v>663</v>
      </c>
      <c r="B643" s="4">
        <v>45686</v>
      </c>
      <c r="C643" s="4" t="str">
        <f t="shared" ref="C643:C706" si="20">TEXT(B643,"MMM")</f>
        <v>Jan</v>
      </c>
      <c r="D643" t="s">
        <v>1522</v>
      </c>
      <c r="E643" t="s">
        <v>1525</v>
      </c>
      <c r="F643" t="s">
        <v>1528</v>
      </c>
      <c r="G643" t="s">
        <v>1541</v>
      </c>
      <c r="H643" t="s">
        <v>1551</v>
      </c>
      <c r="I643">
        <v>2024</v>
      </c>
      <c r="J643" t="s">
        <v>1554</v>
      </c>
      <c r="K643" t="s">
        <v>1556</v>
      </c>
      <c r="L643">
        <v>883887</v>
      </c>
      <c r="M643">
        <v>803401</v>
      </c>
      <c r="N643">
        <v>80486</v>
      </c>
      <c r="O643">
        <v>55</v>
      </c>
      <c r="P643" t="str">
        <f t="shared" ref="P643:P706" si="21">IF(O643&gt;50,"senior",IF(O643&gt;30,"adult","young"))</f>
        <v>senior</v>
      </c>
      <c r="Q643" t="s">
        <v>1558</v>
      </c>
      <c r="R643" t="s">
        <v>1561</v>
      </c>
      <c r="S643" t="s">
        <v>1568</v>
      </c>
      <c r="T643">
        <v>1025499</v>
      </c>
      <c r="U643">
        <v>5</v>
      </c>
      <c r="V643" t="s">
        <v>1571</v>
      </c>
      <c r="W643" t="s">
        <v>1591</v>
      </c>
      <c r="X643">
        <v>9.11</v>
      </c>
    </row>
    <row r="644" spans="1:24" x14ac:dyDescent="0.25">
      <c r="A644" t="s">
        <v>664</v>
      </c>
      <c r="B644" s="4">
        <v>45850</v>
      </c>
      <c r="C644" s="4" t="str">
        <f t="shared" si="20"/>
        <v>Jul</v>
      </c>
      <c r="D644" t="s">
        <v>1522</v>
      </c>
      <c r="E644" t="s">
        <v>1526</v>
      </c>
      <c r="F644" t="s">
        <v>1536</v>
      </c>
      <c r="G644" t="s">
        <v>1545</v>
      </c>
      <c r="H644" t="s">
        <v>4</v>
      </c>
      <c r="I644">
        <v>2025</v>
      </c>
      <c r="J644" t="s">
        <v>1554</v>
      </c>
      <c r="K644" t="s">
        <v>1556</v>
      </c>
      <c r="L644">
        <v>1369209</v>
      </c>
      <c r="M644">
        <v>1219415</v>
      </c>
      <c r="N644">
        <v>149794</v>
      </c>
      <c r="O644">
        <v>38</v>
      </c>
      <c r="P644" t="str">
        <f t="shared" si="21"/>
        <v>adult</v>
      </c>
      <c r="Q644" t="s">
        <v>1558</v>
      </c>
      <c r="R644" t="s">
        <v>1565</v>
      </c>
      <c r="S644" t="s">
        <v>1567</v>
      </c>
      <c r="T644">
        <v>1895317</v>
      </c>
      <c r="U644">
        <v>1</v>
      </c>
      <c r="V644" t="s">
        <v>1579</v>
      </c>
      <c r="W644" t="s">
        <v>1594</v>
      </c>
      <c r="X644">
        <v>10.94</v>
      </c>
    </row>
    <row r="645" spans="1:24" x14ac:dyDescent="0.25">
      <c r="A645" t="s">
        <v>665</v>
      </c>
      <c r="B645" s="4">
        <v>46263</v>
      </c>
      <c r="C645" s="4" t="str">
        <f t="shared" si="20"/>
        <v>Aug</v>
      </c>
      <c r="D645" t="s">
        <v>1522</v>
      </c>
      <c r="E645" t="s">
        <v>1526</v>
      </c>
      <c r="F645" t="s">
        <v>1528</v>
      </c>
      <c r="G645" t="s">
        <v>1546</v>
      </c>
      <c r="H645" t="s">
        <v>4</v>
      </c>
      <c r="I645">
        <v>2025</v>
      </c>
      <c r="J645" t="s">
        <v>1554</v>
      </c>
      <c r="K645" t="s">
        <v>1556</v>
      </c>
      <c r="L645">
        <v>1617046</v>
      </c>
      <c r="M645">
        <v>1525563</v>
      </c>
      <c r="N645">
        <v>91483</v>
      </c>
      <c r="O645">
        <v>27</v>
      </c>
      <c r="P645" t="str">
        <f t="shared" si="21"/>
        <v>young</v>
      </c>
      <c r="Q645" t="s">
        <v>1558</v>
      </c>
      <c r="R645" t="s">
        <v>1565</v>
      </c>
      <c r="S645" t="s">
        <v>1568</v>
      </c>
      <c r="T645">
        <v>541993</v>
      </c>
      <c r="U645">
        <v>3</v>
      </c>
      <c r="V645" t="s">
        <v>1576</v>
      </c>
      <c r="W645" t="s">
        <v>1594</v>
      </c>
      <c r="X645">
        <v>5.66</v>
      </c>
    </row>
    <row r="646" spans="1:24" x14ac:dyDescent="0.25">
      <c r="A646" t="s">
        <v>666</v>
      </c>
      <c r="B646" s="4">
        <v>45867</v>
      </c>
      <c r="C646" s="4" t="str">
        <f t="shared" si="20"/>
        <v>Jul</v>
      </c>
      <c r="D646" t="s">
        <v>1522</v>
      </c>
      <c r="E646" t="s">
        <v>1523</v>
      </c>
      <c r="F646" t="s">
        <v>1533</v>
      </c>
      <c r="G646" t="s">
        <v>1547</v>
      </c>
      <c r="H646" t="s">
        <v>4</v>
      </c>
      <c r="I646">
        <v>2026</v>
      </c>
      <c r="J646" t="s">
        <v>1554</v>
      </c>
      <c r="K646" t="s">
        <v>1556</v>
      </c>
      <c r="L646">
        <v>1224295</v>
      </c>
      <c r="M646">
        <v>1026511</v>
      </c>
      <c r="N646">
        <v>197784</v>
      </c>
      <c r="O646">
        <v>26</v>
      </c>
      <c r="P646" t="str">
        <f t="shared" si="21"/>
        <v>young</v>
      </c>
      <c r="Q646" t="s">
        <v>1559</v>
      </c>
      <c r="R646" t="s">
        <v>1561</v>
      </c>
      <c r="S646" t="s">
        <v>1567</v>
      </c>
      <c r="T646">
        <v>438097</v>
      </c>
      <c r="U646">
        <v>2</v>
      </c>
      <c r="V646" t="s">
        <v>1579</v>
      </c>
      <c r="W646" t="s">
        <v>1594</v>
      </c>
      <c r="X646">
        <v>16.149999999999999</v>
      </c>
    </row>
    <row r="647" spans="1:24" x14ac:dyDescent="0.25">
      <c r="A647" t="s">
        <v>667</v>
      </c>
      <c r="B647" s="4">
        <v>45853</v>
      </c>
      <c r="C647" s="4" t="str">
        <f t="shared" si="20"/>
        <v>Jul</v>
      </c>
      <c r="D647" t="s">
        <v>1522</v>
      </c>
      <c r="E647" t="s">
        <v>1525</v>
      </c>
      <c r="F647" t="s">
        <v>1534</v>
      </c>
      <c r="G647" t="s">
        <v>1541</v>
      </c>
      <c r="H647" t="s">
        <v>1551</v>
      </c>
      <c r="I647">
        <v>2026</v>
      </c>
      <c r="J647" t="s">
        <v>1554</v>
      </c>
      <c r="K647" t="s">
        <v>1556</v>
      </c>
      <c r="L647">
        <v>810679</v>
      </c>
      <c r="M647">
        <v>667692</v>
      </c>
      <c r="N647">
        <v>142987</v>
      </c>
      <c r="O647">
        <v>29</v>
      </c>
      <c r="P647" t="str">
        <f t="shared" si="21"/>
        <v>young</v>
      </c>
      <c r="Q647" t="s">
        <v>1559</v>
      </c>
      <c r="R647" t="s">
        <v>1564</v>
      </c>
      <c r="S647" t="s">
        <v>1570</v>
      </c>
      <c r="T647">
        <v>1954506</v>
      </c>
      <c r="U647">
        <v>4</v>
      </c>
      <c r="V647" t="s">
        <v>1579</v>
      </c>
      <c r="W647" t="s">
        <v>1594</v>
      </c>
      <c r="X647">
        <v>17.64</v>
      </c>
    </row>
    <row r="648" spans="1:24" x14ac:dyDescent="0.25">
      <c r="A648" t="s">
        <v>668</v>
      </c>
      <c r="B648" s="4">
        <v>46152</v>
      </c>
      <c r="C648" s="4" t="str">
        <f t="shared" si="20"/>
        <v>May</v>
      </c>
      <c r="D648" t="s">
        <v>1522</v>
      </c>
      <c r="E648" t="s">
        <v>1527</v>
      </c>
      <c r="F648" t="s">
        <v>1535</v>
      </c>
      <c r="G648" t="s">
        <v>1539</v>
      </c>
      <c r="H648" t="s">
        <v>1552</v>
      </c>
      <c r="I648">
        <v>2023</v>
      </c>
      <c r="J648" t="s">
        <v>1555</v>
      </c>
      <c r="K648" t="s">
        <v>1556</v>
      </c>
      <c r="L648">
        <v>1961625</v>
      </c>
      <c r="M648">
        <v>1779818</v>
      </c>
      <c r="N648">
        <v>181807</v>
      </c>
      <c r="O648">
        <v>27</v>
      </c>
      <c r="P648" t="str">
        <f t="shared" si="21"/>
        <v>young</v>
      </c>
      <c r="Q648" t="s">
        <v>1558</v>
      </c>
      <c r="R648" t="s">
        <v>1562</v>
      </c>
      <c r="S648" t="s">
        <v>1567</v>
      </c>
      <c r="T648">
        <v>1058554</v>
      </c>
      <c r="U648">
        <v>2</v>
      </c>
      <c r="V648" t="s">
        <v>1590</v>
      </c>
      <c r="W648" t="s">
        <v>1592</v>
      </c>
      <c r="X648">
        <v>9.27</v>
      </c>
    </row>
    <row r="649" spans="1:24" x14ac:dyDescent="0.25">
      <c r="A649" t="s">
        <v>669</v>
      </c>
      <c r="B649" s="4">
        <v>46030</v>
      </c>
      <c r="C649" s="4" t="str">
        <f t="shared" si="20"/>
        <v>Jan</v>
      </c>
      <c r="D649" t="s">
        <v>1522</v>
      </c>
      <c r="E649" t="s">
        <v>1526</v>
      </c>
      <c r="F649" t="s">
        <v>1535</v>
      </c>
      <c r="G649" t="s">
        <v>1545</v>
      </c>
      <c r="H649" t="s">
        <v>1551</v>
      </c>
      <c r="I649">
        <v>2026</v>
      </c>
      <c r="J649" t="s">
        <v>1554</v>
      </c>
      <c r="K649" t="s">
        <v>1556</v>
      </c>
      <c r="L649">
        <v>1034479</v>
      </c>
      <c r="M649">
        <v>847765</v>
      </c>
      <c r="N649">
        <v>186714</v>
      </c>
      <c r="O649">
        <v>56</v>
      </c>
      <c r="P649" t="str">
        <f t="shared" si="21"/>
        <v>senior</v>
      </c>
      <c r="Q649" t="s">
        <v>1558</v>
      </c>
      <c r="R649" t="s">
        <v>1566</v>
      </c>
      <c r="S649" t="s">
        <v>1570</v>
      </c>
      <c r="T649">
        <v>821806</v>
      </c>
      <c r="U649">
        <v>1</v>
      </c>
      <c r="V649" t="s">
        <v>1581</v>
      </c>
      <c r="W649" t="s">
        <v>1591</v>
      </c>
      <c r="X649">
        <v>18.05</v>
      </c>
    </row>
    <row r="650" spans="1:24" x14ac:dyDescent="0.25">
      <c r="A650" t="s">
        <v>670</v>
      </c>
      <c r="B650" s="4">
        <v>45782</v>
      </c>
      <c r="C650" s="4" t="str">
        <f t="shared" si="20"/>
        <v>May</v>
      </c>
      <c r="D650" t="s">
        <v>1522</v>
      </c>
      <c r="E650" t="s">
        <v>1524</v>
      </c>
      <c r="F650" t="s">
        <v>1535</v>
      </c>
      <c r="G650" t="s">
        <v>1548</v>
      </c>
      <c r="H650" t="s">
        <v>1550</v>
      </c>
      <c r="I650">
        <v>2026</v>
      </c>
      <c r="J650" t="s">
        <v>1554</v>
      </c>
      <c r="K650" t="s">
        <v>1557</v>
      </c>
      <c r="L650">
        <v>1348036</v>
      </c>
      <c r="M650">
        <v>1152045</v>
      </c>
      <c r="N650">
        <v>195991</v>
      </c>
      <c r="O650">
        <v>47</v>
      </c>
      <c r="P650" t="str">
        <f t="shared" si="21"/>
        <v>adult</v>
      </c>
      <c r="Q650" t="s">
        <v>1558</v>
      </c>
      <c r="R650" t="s">
        <v>1566</v>
      </c>
      <c r="S650" t="s">
        <v>1567</v>
      </c>
      <c r="T650">
        <v>1465464</v>
      </c>
      <c r="U650">
        <v>1</v>
      </c>
      <c r="V650" t="s">
        <v>1572</v>
      </c>
      <c r="W650" t="s">
        <v>1592</v>
      </c>
      <c r="X650">
        <v>14.54</v>
      </c>
    </row>
    <row r="651" spans="1:24" x14ac:dyDescent="0.25">
      <c r="A651" t="s">
        <v>671</v>
      </c>
      <c r="B651" s="4">
        <v>46167</v>
      </c>
      <c r="C651" s="4" t="str">
        <f t="shared" si="20"/>
        <v>May</v>
      </c>
      <c r="D651" t="s">
        <v>1522</v>
      </c>
      <c r="E651" t="s">
        <v>1525</v>
      </c>
      <c r="F651" t="s">
        <v>1533</v>
      </c>
      <c r="G651" t="s">
        <v>1538</v>
      </c>
      <c r="H651" t="s">
        <v>4</v>
      </c>
      <c r="I651">
        <v>2024</v>
      </c>
      <c r="J651" t="s">
        <v>1554</v>
      </c>
      <c r="K651" t="s">
        <v>1557</v>
      </c>
      <c r="L651">
        <v>1533335</v>
      </c>
      <c r="M651">
        <v>1320267</v>
      </c>
      <c r="N651">
        <v>213068</v>
      </c>
      <c r="O651">
        <v>27</v>
      </c>
      <c r="P651" t="str">
        <f t="shared" si="21"/>
        <v>young</v>
      </c>
      <c r="Q651" t="s">
        <v>1558</v>
      </c>
      <c r="R651" t="s">
        <v>1561</v>
      </c>
      <c r="S651" t="s">
        <v>1570</v>
      </c>
      <c r="T651">
        <v>1979919</v>
      </c>
      <c r="U651">
        <v>5</v>
      </c>
      <c r="V651" t="s">
        <v>1590</v>
      </c>
      <c r="W651" t="s">
        <v>1592</v>
      </c>
      <c r="X651">
        <v>13.9</v>
      </c>
    </row>
    <row r="652" spans="1:24" x14ac:dyDescent="0.25">
      <c r="A652" t="s">
        <v>672</v>
      </c>
      <c r="B652" s="4">
        <v>46053</v>
      </c>
      <c r="C652" s="4" t="str">
        <f t="shared" si="20"/>
        <v>Jan</v>
      </c>
      <c r="D652" t="s">
        <v>1522</v>
      </c>
      <c r="E652" t="s">
        <v>1525</v>
      </c>
      <c r="F652" t="s">
        <v>1531</v>
      </c>
      <c r="G652" t="s">
        <v>1545</v>
      </c>
      <c r="H652" t="s">
        <v>1550</v>
      </c>
      <c r="I652">
        <v>2025</v>
      </c>
      <c r="J652" t="s">
        <v>1554</v>
      </c>
      <c r="K652" t="s">
        <v>1556</v>
      </c>
      <c r="L652">
        <v>1668436</v>
      </c>
      <c r="M652">
        <v>1345713</v>
      </c>
      <c r="N652">
        <v>322723</v>
      </c>
      <c r="O652">
        <v>39</v>
      </c>
      <c r="P652" t="str">
        <f t="shared" si="21"/>
        <v>adult</v>
      </c>
      <c r="Q652" t="s">
        <v>1558</v>
      </c>
      <c r="R652" t="s">
        <v>1565</v>
      </c>
      <c r="S652" t="s">
        <v>1568</v>
      </c>
      <c r="T652">
        <v>717760</v>
      </c>
      <c r="U652">
        <v>4</v>
      </c>
      <c r="V652" t="s">
        <v>1581</v>
      </c>
      <c r="W652" t="s">
        <v>1591</v>
      </c>
      <c r="X652">
        <v>19.34</v>
      </c>
    </row>
    <row r="653" spans="1:24" x14ac:dyDescent="0.25">
      <c r="A653" t="s">
        <v>673</v>
      </c>
      <c r="B653" s="4">
        <v>46191</v>
      </c>
      <c r="C653" s="4" t="str">
        <f t="shared" si="20"/>
        <v>Jun</v>
      </c>
      <c r="D653" t="s">
        <v>1522</v>
      </c>
      <c r="E653" t="s">
        <v>1524</v>
      </c>
      <c r="F653" t="s">
        <v>1529</v>
      </c>
      <c r="G653" t="s">
        <v>1549</v>
      </c>
      <c r="H653" t="s">
        <v>1552</v>
      </c>
      <c r="I653">
        <v>2022</v>
      </c>
      <c r="J653" t="s">
        <v>1555</v>
      </c>
      <c r="K653" t="s">
        <v>1556</v>
      </c>
      <c r="L653">
        <v>1972075</v>
      </c>
      <c r="M653">
        <v>1748230</v>
      </c>
      <c r="N653">
        <v>223845</v>
      </c>
      <c r="O653">
        <v>63</v>
      </c>
      <c r="P653" t="str">
        <f t="shared" si="21"/>
        <v>senior</v>
      </c>
      <c r="Q653" t="s">
        <v>1558</v>
      </c>
      <c r="R653" t="s">
        <v>1566</v>
      </c>
      <c r="S653" t="s">
        <v>1568</v>
      </c>
      <c r="T653">
        <v>1636046</v>
      </c>
      <c r="U653">
        <v>4</v>
      </c>
      <c r="V653" t="s">
        <v>1582</v>
      </c>
      <c r="W653" t="s">
        <v>1592</v>
      </c>
      <c r="X653">
        <v>11.35</v>
      </c>
    </row>
    <row r="654" spans="1:24" x14ac:dyDescent="0.25">
      <c r="A654" t="s">
        <v>674</v>
      </c>
      <c r="B654" s="4">
        <v>45678</v>
      </c>
      <c r="C654" s="4" t="str">
        <f t="shared" si="20"/>
        <v>Jan</v>
      </c>
      <c r="D654" t="s">
        <v>1522</v>
      </c>
      <c r="E654" t="s">
        <v>1525</v>
      </c>
      <c r="F654" t="s">
        <v>1529</v>
      </c>
      <c r="G654" t="s">
        <v>1545</v>
      </c>
      <c r="H654" t="s">
        <v>1551</v>
      </c>
      <c r="I654">
        <v>2023</v>
      </c>
      <c r="J654" t="s">
        <v>1554</v>
      </c>
      <c r="K654" t="s">
        <v>1556</v>
      </c>
      <c r="L654">
        <v>1078141</v>
      </c>
      <c r="M654">
        <v>969889</v>
      </c>
      <c r="N654">
        <v>108252</v>
      </c>
      <c r="O654">
        <v>51</v>
      </c>
      <c r="P654" t="str">
        <f t="shared" si="21"/>
        <v>senior</v>
      </c>
      <c r="Q654" t="s">
        <v>1559</v>
      </c>
      <c r="R654" t="s">
        <v>1563</v>
      </c>
      <c r="S654" t="s">
        <v>1570</v>
      </c>
      <c r="T654">
        <v>2015176</v>
      </c>
      <c r="U654">
        <v>5</v>
      </c>
      <c r="V654" t="s">
        <v>1571</v>
      </c>
      <c r="W654" t="s">
        <v>1591</v>
      </c>
      <c r="X654">
        <v>10.039999999999999</v>
      </c>
    </row>
    <row r="655" spans="1:24" x14ac:dyDescent="0.25">
      <c r="A655" t="s">
        <v>675</v>
      </c>
      <c r="B655" s="4">
        <v>46038</v>
      </c>
      <c r="C655" s="4" t="str">
        <f t="shared" si="20"/>
        <v>Jan</v>
      </c>
      <c r="D655" t="s">
        <v>1522</v>
      </c>
      <c r="E655" t="s">
        <v>1527</v>
      </c>
      <c r="F655" t="s">
        <v>1532</v>
      </c>
      <c r="G655" t="s">
        <v>1538</v>
      </c>
      <c r="H655" t="s">
        <v>1551</v>
      </c>
      <c r="I655">
        <v>2024</v>
      </c>
      <c r="J655" t="s">
        <v>1554</v>
      </c>
      <c r="K655" t="s">
        <v>1557</v>
      </c>
      <c r="L655">
        <v>771543</v>
      </c>
      <c r="M655">
        <v>642809</v>
      </c>
      <c r="N655">
        <v>128734</v>
      </c>
      <c r="O655">
        <v>39</v>
      </c>
      <c r="P655" t="str">
        <f t="shared" si="21"/>
        <v>adult</v>
      </c>
      <c r="Q655" t="s">
        <v>1558</v>
      </c>
      <c r="R655" t="s">
        <v>1563</v>
      </c>
      <c r="S655" t="s">
        <v>1567</v>
      </c>
      <c r="T655">
        <v>1600308</v>
      </c>
      <c r="U655">
        <v>2</v>
      </c>
      <c r="V655" t="s">
        <v>1581</v>
      </c>
      <c r="W655" t="s">
        <v>1591</v>
      </c>
      <c r="X655">
        <v>16.690000000000001</v>
      </c>
    </row>
    <row r="656" spans="1:24" x14ac:dyDescent="0.25">
      <c r="A656" t="s">
        <v>676</v>
      </c>
      <c r="B656" s="4">
        <v>46028</v>
      </c>
      <c r="C656" s="4" t="str">
        <f t="shared" si="20"/>
        <v>Jan</v>
      </c>
      <c r="D656" t="s">
        <v>1522</v>
      </c>
      <c r="E656" t="s">
        <v>1525</v>
      </c>
      <c r="F656" t="s">
        <v>1533</v>
      </c>
      <c r="G656" t="s">
        <v>1541</v>
      </c>
      <c r="H656" t="s">
        <v>1552</v>
      </c>
      <c r="I656">
        <v>2025</v>
      </c>
      <c r="J656" t="s">
        <v>1555</v>
      </c>
      <c r="K656" t="s">
        <v>1556</v>
      </c>
      <c r="L656">
        <v>1991470</v>
      </c>
      <c r="M656">
        <v>1689497</v>
      </c>
      <c r="N656">
        <v>301973</v>
      </c>
      <c r="O656">
        <v>47</v>
      </c>
      <c r="P656" t="str">
        <f t="shared" si="21"/>
        <v>adult</v>
      </c>
      <c r="Q656" t="s">
        <v>1559</v>
      </c>
      <c r="R656" t="s">
        <v>1566</v>
      </c>
      <c r="S656" t="s">
        <v>1568</v>
      </c>
      <c r="T656">
        <v>91209</v>
      </c>
      <c r="U656">
        <v>2</v>
      </c>
      <c r="V656" t="s">
        <v>1581</v>
      </c>
      <c r="W656" t="s">
        <v>1591</v>
      </c>
      <c r="X656">
        <v>15.16</v>
      </c>
    </row>
    <row r="657" spans="1:24" x14ac:dyDescent="0.25">
      <c r="A657" t="s">
        <v>677</v>
      </c>
      <c r="B657" s="4">
        <v>46258</v>
      </c>
      <c r="C657" s="4" t="str">
        <f t="shared" si="20"/>
        <v>Aug</v>
      </c>
      <c r="D657" t="s">
        <v>1522</v>
      </c>
      <c r="E657" t="s">
        <v>1523</v>
      </c>
      <c r="F657" t="s">
        <v>1531</v>
      </c>
      <c r="G657" t="s">
        <v>1544</v>
      </c>
      <c r="H657" t="s">
        <v>4</v>
      </c>
      <c r="I657">
        <v>2023</v>
      </c>
      <c r="J657" t="s">
        <v>1554</v>
      </c>
      <c r="K657" t="s">
        <v>1556</v>
      </c>
      <c r="L657">
        <v>1476254</v>
      </c>
      <c r="M657">
        <v>1389052</v>
      </c>
      <c r="N657">
        <v>87202</v>
      </c>
      <c r="O657">
        <v>24</v>
      </c>
      <c r="P657" t="str">
        <f t="shared" si="21"/>
        <v>young</v>
      </c>
      <c r="Q657" t="s">
        <v>1558</v>
      </c>
      <c r="R657" t="s">
        <v>1562</v>
      </c>
      <c r="S657" t="s">
        <v>1569</v>
      </c>
      <c r="T657">
        <v>1785070</v>
      </c>
      <c r="U657">
        <v>2</v>
      </c>
      <c r="V657" t="s">
        <v>1576</v>
      </c>
      <c r="W657" t="s">
        <v>1594</v>
      </c>
      <c r="X657">
        <v>5.91</v>
      </c>
    </row>
    <row r="658" spans="1:24" x14ac:dyDescent="0.25">
      <c r="A658" t="s">
        <v>678</v>
      </c>
      <c r="B658" s="4">
        <v>46071</v>
      </c>
      <c r="C658" s="4" t="str">
        <f t="shared" si="20"/>
        <v>Feb</v>
      </c>
      <c r="D658" t="s">
        <v>1522</v>
      </c>
      <c r="E658" t="s">
        <v>1526</v>
      </c>
      <c r="F658" t="s">
        <v>1528</v>
      </c>
      <c r="G658" t="s">
        <v>1548</v>
      </c>
      <c r="H658" t="s">
        <v>1552</v>
      </c>
      <c r="I658">
        <v>2026</v>
      </c>
      <c r="J658" t="s">
        <v>1555</v>
      </c>
      <c r="K658" t="s">
        <v>1556</v>
      </c>
      <c r="L658">
        <v>1953995</v>
      </c>
      <c r="M658">
        <v>1836538</v>
      </c>
      <c r="N658">
        <v>117457</v>
      </c>
      <c r="O658">
        <v>31</v>
      </c>
      <c r="P658" t="str">
        <f t="shared" si="21"/>
        <v>adult</v>
      </c>
      <c r="Q658" t="s">
        <v>1558</v>
      </c>
      <c r="R658" t="s">
        <v>1563</v>
      </c>
      <c r="S658" t="s">
        <v>1568</v>
      </c>
      <c r="T658">
        <v>1189925</v>
      </c>
      <c r="U658">
        <v>3</v>
      </c>
      <c r="V658" t="s">
        <v>1589</v>
      </c>
      <c r="W658" t="s">
        <v>1591</v>
      </c>
      <c r="X658">
        <v>6.01</v>
      </c>
    </row>
    <row r="659" spans="1:24" x14ac:dyDescent="0.25">
      <c r="A659" t="s">
        <v>679</v>
      </c>
      <c r="B659" s="4">
        <v>46055</v>
      </c>
      <c r="C659" s="4" t="str">
        <f t="shared" si="20"/>
        <v>Feb</v>
      </c>
      <c r="D659" t="s">
        <v>1522</v>
      </c>
      <c r="E659" t="s">
        <v>1525</v>
      </c>
      <c r="F659" t="s">
        <v>1532</v>
      </c>
      <c r="G659" t="s">
        <v>1545</v>
      </c>
      <c r="H659" t="s">
        <v>1552</v>
      </c>
      <c r="I659">
        <v>2026</v>
      </c>
      <c r="J659" t="s">
        <v>1555</v>
      </c>
      <c r="K659" t="s">
        <v>1556</v>
      </c>
      <c r="L659">
        <v>2024421</v>
      </c>
      <c r="M659">
        <v>1660544</v>
      </c>
      <c r="N659">
        <v>363877</v>
      </c>
      <c r="O659">
        <v>45</v>
      </c>
      <c r="P659" t="str">
        <f t="shared" si="21"/>
        <v>adult</v>
      </c>
      <c r="Q659" t="s">
        <v>1558</v>
      </c>
      <c r="R659" t="s">
        <v>1566</v>
      </c>
      <c r="S659" t="s">
        <v>1568</v>
      </c>
      <c r="T659">
        <v>409049</v>
      </c>
      <c r="U659">
        <v>2</v>
      </c>
      <c r="V659" t="s">
        <v>1589</v>
      </c>
      <c r="W659" t="s">
        <v>1591</v>
      </c>
      <c r="X659">
        <v>17.97</v>
      </c>
    </row>
    <row r="660" spans="1:24" x14ac:dyDescent="0.25">
      <c r="A660" t="s">
        <v>680</v>
      </c>
      <c r="B660" s="4">
        <v>46095</v>
      </c>
      <c r="C660" s="4" t="str">
        <f t="shared" si="20"/>
        <v>Mar</v>
      </c>
      <c r="D660" t="s">
        <v>1522</v>
      </c>
      <c r="E660" t="s">
        <v>1527</v>
      </c>
      <c r="F660" t="s">
        <v>1532</v>
      </c>
      <c r="G660" t="s">
        <v>1540</v>
      </c>
      <c r="H660" t="s">
        <v>1552</v>
      </c>
      <c r="I660">
        <v>2024</v>
      </c>
      <c r="J660" t="s">
        <v>1555</v>
      </c>
      <c r="K660" t="s">
        <v>1556</v>
      </c>
      <c r="L660">
        <v>2013886</v>
      </c>
      <c r="M660">
        <v>1807944</v>
      </c>
      <c r="N660">
        <v>205942</v>
      </c>
      <c r="O660">
        <v>53</v>
      </c>
      <c r="P660" t="str">
        <f t="shared" si="21"/>
        <v>senior</v>
      </c>
      <c r="Q660" t="s">
        <v>1558</v>
      </c>
      <c r="R660" t="s">
        <v>1565</v>
      </c>
      <c r="S660" t="s">
        <v>1569</v>
      </c>
      <c r="T660">
        <v>233027</v>
      </c>
      <c r="U660">
        <v>1</v>
      </c>
      <c r="V660" t="s">
        <v>1586</v>
      </c>
      <c r="W660" t="s">
        <v>1591</v>
      </c>
      <c r="X660">
        <v>10.23</v>
      </c>
    </row>
    <row r="661" spans="1:24" x14ac:dyDescent="0.25">
      <c r="A661" t="s">
        <v>681</v>
      </c>
      <c r="B661" s="4">
        <v>46219</v>
      </c>
      <c r="C661" s="4" t="str">
        <f t="shared" si="20"/>
        <v>Jul</v>
      </c>
      <c r="D661" t="s">
        <v>1522</v>
      </c>
      <c r="E661" t="s">
        <v>1524</v>
      </c>
      <c r="F661" t="s">
        <v>1528</v>
      </c>
      <c r="G661" t="s">
        <v>1543</v>
      </c>
      <c r="H661" t="s">
        <v>1550</v>
      </c>
      <c r="I661">
        <v>2025</v>
      </c>
      <c r="J661" t="s">
        <v>1554</v>
      </c>
      <c r="K661" t="s">
        <v>1556</v>
      </c>
      <c r="L661">
        <v>1310784</v>
      </c>
      <c r="M661">
        <v>1219770</v>
      </c>
      <c r="N661">
        <v>91014</v>
      </c>
      <c r="O661">
        <v>21</v>
      </c>
      <c r="P661" t="str">
        <f t="shared" si="21"/>
        <v>young</v>
      </c>
      <c r="Q661" t="s">
        <v>1558</v>
      </c>
      <c r="R661" t="s">
        <v>1563</v>
      </c>
      <c r="S661" t="s">
        <v>1567</v>
      </c>
      <c r="T661">
        <v>51317</v>
      </c>
      <c r="U661">
        <v>2</v>
      </c>
      <c r="V661" t="s">
        <v>1587</v>
      </c>
      <c r="W661" t="s">
        <v>1594</v>
      </c>
      <c r="X661">
        <v>6.94</v>
      </c>
    </row>
    <row r="662" spans="1:24" x14ac:dyDescent="0.25">
      <c r="A662" t="s">
        <v>682</v>
      </c>
      <c r="B662" s="4">
        <v>46178</v>
      </c>
      <c r="C662" s="4" t="str">
        <f t="shared" si="20"/>
        <v>Jun</v>
      </c>
      <c r="D662" t="s">
        <v>1522</v>
      </c>
      <c r="E662" t="s">
        <v>1524</v>
      </c>
      <c r="F662" t="s">
        <v>1536</v>
      </c>
      <c r="G662" t="s">
        <v>1548</v>
      </c>
      <c r="H662" t="s">
        <v>1551</v>
      </c>
      <c r="I662">
        <v>2025</v>
      </c>
      <c r="J662" t="s">
        <v>1554</v>
      </c>
      <c r="K662" t="s">
        <v>1556</v>
      </c>
      <c r="L662">
        <v>805640</v>
      </c>
      <c r="M662">
        <v>712923</v>
      </c>
      <c r="N662">
        <v>92717</v>
      </c>
      <c r="O662">
        <v>44</v>
      </c>
      <c r="P662" t="str">
        <f t="shared" si="21"/>
        <v>adult</v>
      </c>
      <c r="Q662" t="s">
        <v>1558</v>
      </c>
      <c r="R662" t="s">
        <v>1564</v>
      </c>
      <c r="S662" t="s">
        <v>1570</v>
      </c>
      <c r="T662">
        <v>1233318</v>
      </c>
      <c r="U662">
        <v>5</v>
      </c>
      <c r="V662" t="s">
        <v>1582</v>
      </c>
      <c r="W662" t="s">
        <v>1592</v>
      </c>
      <c r="X662">
        <v>11.51</v>
      </c>
    </row>
    <row r="663" spans="1:24" x14ac:dyDescent="0.25">
      <c r="A663" t="s">
        <v>683</v>
      </c>
      <c r="B663" s="4">
        <v>45728</v>
      </c>
      <c r="C663" s="4" t="str">
        <f t="shared" si="20"/>
        <v>Mar</v>
      </c>
      <c r="D663" t="s">
        <v>1522</v>
      </c>
      <c r="E663" t="s">
        <v>1527</v>
      </c>
      <c r="F663" t="s">
        <v>1537</v>
      </c>
      <c r="G663" t="s">
        <v>1548</v>
      </c>
      <c r="H663" t="s">
        <v>1550</v>
      </c>
      <c r="I663">
        <v>2024</v>
      </c>
      <c r="J663" t="s">
        <v>1554</v>
      </c>
      <c r="K663" t="s">
        <v>1557</v>
      </c>
      <c r="L663">
        <v>1640554</v>
      </c>
      <c r="M663">
        <v>1526306</v>
      </c>
      <c r="N663">
        <v>114248</v>
      </c>
      <c r="O663">
        <v>31</v>
      </c>
      <c r="P663" t="str">
        <f t="shared" si="21"/>
        <v>adult</v>
      </c>
      <c r="Q663" t="s">
        <v>1558</v>
      </c>
      <c r="R663" t="s">
        <v>1564</v>
      </c>
      <c r="S663" t="s">
        <v>1567</v>
      </c>
      <c r="T663">
        <v>437735</v>
      </c>
      <c r="U663">
        <v>5</v>
      </c>
      <c r="V663" t="s">
        <v>1588</v>
      </c>
      <c r="W663" t="s">
        <v>1591</v>
      </c>
      <c r="X663">
        <v>6.96</v>
      </c>
    </row>
    <row r="664" spans="1:24" x14ac:dyDescent="0.25">
      <c r="A664" t="s">
        <v>684</v>
      </c>
      <c r="B664" s="4">
        <v>46107</v>
      </c>
      <c r="C664" s="4" t="str">
        <f t="shared" si="20"/>
        <v>Mar</v>
      </c>
      <c r="D664" t="s">
        <v>1522</v>
      </c>
      <c r="E664" t="s">
        <v>1526</v>
      </c>
      <c r="F664" t="s">
        <v>1532</v>
      </c>
      <c r="G664" t="s">
        <v>1538</v>
      </c>
      <c r="H664" t="s">
        <v>1551</v>
      </c>
      <c r="I664">
        <v>2025</v>
      </c>
      <c r="J664" t="s">
        <v>1554</v>
      </c>
      <c r="K664" t="s">
        <v>1556</v>
      </c>
      <c r="L664">
        <v>882055</v>
      </c>
      <c r="M664">
        <v>806741</v>
      </c>
      <c r="N664">
        <v>75314</v>
      </c>
      <c r="O664">
        <v>56</v>
      </c>
      <c r="P664" t="str">
        <f t="shared" si="21"/>
        <v>senior</v>
      </c>
      <c r="Q664" t="s">
        <v>1558</v>
      </c>
      <c r="R664" t="s">
        <v>1565</v>
      </c>
      <c r="S664" t="s">
        <v>1567</v>
      </c>
      <c r="T664">
        <v>1258598</v>
      </c>
      <c r="U664">
        <v>5</v>
      </c>
      <c r="V664" t="s">
        <v>1586</v>
      </c>
      <c r="W664" t="s">
        <v>1591</v>
      </c>
      <c r="X664">
        <v>8.5399999999999991</v>
      </c>
    </row>
    <row r="665" spans="1:24" x14ac:dyDescent="0.25">
      <c r="A665" t="s">
        <v>685</v>
      </c>
      <c r="B665" s="4">
        <v>46261</v>
      </c>
      <c r="C665" s="4" t="str">
        <f t="shared" si="20"/>
        <v>Aug</v>
      </c>
      <c r="D665" t="s">
        <v>1522</v>
      </c>
      <c r="E665" t="s">
        <v>1527</v>
      </c>
      <c r="F665" t="s">
        <v>1531</v>
      </c>
      <c r="G665" t="s">
        <v>1548</v>
      </c>
      <c r="H665" t="s">
        <v>4</v>
      </c>
      <c r="I665">
        <v>2023</v>
      </c>
      <c r="J665" t="s">
        <v>1554</v>
      </c>
      <c r="K665" t="s">
        <v>1557</v>
      </c>
      <c r="L665">
        <v>1387811</v>
      </c>
      <c r="M665">
        <v>1291752</v>
      </c>
      <c r="N665">
        <v>96059</v>
      </c>
      <c r="O665">
        <v>34</v>
      </c>
      <c r="P665" t="str">
        <f t="shared" si="21"/>
        <v>adult</v>
      </c>
      <c r="Q665" t="s">
        <v>1558</v>
      </c>
      <c r="R665" t="s">
        <v>1561</v>
      </c>
      <c r="S665" t="s">
        <v>1568</v>
      </c>
      <c r="T665">
        <v>1955987</v>
      </c>
      <c r="U665">
        <v>3</v>
      </c>
      <c r="V665" t="s">
        <v>1576</v>
      </c>
      <c r="W665" t="s">
        <v>1594</v>
      </c>
      <c r="X665">
        <v>6.92</v>
      </c>
    </row>
    <row r="666" spans="1:24" x14ac:dyDescent="0.25">
      <c r="A666" t="s">
        <v>686</v>
      </c>
      <c r="B666" s="4">
        <v>46110</v>
      </c>
      <c r="C666" s="4" t="str">
        <f t="shared" si="20"/>
        <v>Mar</v>
      </c>
      <c r="D666" t="s">
        <v>1522</v>
      </c>
      <c r="E666" t="s">
        <v>1525</v>
      </c>
      <c r="F666" t="s">
        <v>1528</v>
      </c>
      <c r="G666" t="s">
        <v>1539</v>
      </c>
      <c r="H666" t="s">
        <v>1552</v>
      </c>
      <c r="I666">
        <v>2025</v>
      </c>
      <c r="J666" t="s">
        <v>1555</v>
      </c>
      <c r="K666" t="s">
        <v>1556</v>
      </c>
      <c r="L666">
        <v>1865068</v>
      </c>
      <c r="M666">
        <v>1716000</v>
      </c>
      <c r="N666">
        <v>149068</v>
      </c>
      <c r="O666">
        <v>57</v>
      </c>
      <c r="P666" t="str">
        <f t="shared" si="21"/>
        <v>senior</v>
      </c>
      <c r="Q666" t="s">
        <v>1559</v>
      </c>
      <c r="R666" t="s">
        <v>1561</v>
      </c>
      <c r="S666" t="s">
        <v>1567</v>
      </c>
      <c r="T666">
        <v>458233</v>
      </c>
      <c r="U666">
        <v>1</v>
      </c>
      <c r="V666" t="s">
        <v>1586</v>
      </c>
      <c r="W666" t="s">
        <v>1591</v>
      </c>
      <c r="X666">
        <v>7.99</v>
      </c>
    </row>
    <row r="667" spans="1:24" x14ac:dyDescent="0.25">
      <c r="A667" t="s">
        <v>687</v>
      </c>
      <c r="B667" s="4">
        <v>45956</v>
      </c>
      <c r="C667" s="4" t="str">
        <f t="shared" si="20"/>
        <v>Oct</v>
      </c>
      <c r="D667" t="s">
        <v>1522</v>
      </c>
      <c r="E667" t="s">
        <v>1526</v>
      </c>
      <c r="F667" t="s">
        <v>1536</v>
      </c>
      <c r="G667" t="s">
        <v>1539</v>
      </c>
      <c r="H667" t="s">
        <v>4</v>
      </c>
      <c r="I667">
        <v>2026</v>
      </c>
      <c r="J667" t="s">
        <v>1554</v>
      </c>
      <c r="K667" t="s">
        <v>1557</v>
      </c>
      <c r="L667">
        <v>1212027</v>
      </c>
      <c r="M667">
        <v>1111693</v>
      </c>
      <c r="N667">
        <v>100334</v>
      </c>
      <c r="O667">
        <v>33</v>
      </c>
      <c r="P667" t="str">
        <f t="shared" si="21"/>
        <v>adult</v>
      </c>
      <c r="Q667" t="s">
        <v>1558</v>
      </c>
      <c r="R667" t="s">
        <v>1562</v>
      </c>
      <c r="S667" t="s">
        <v>1568</v>
      </c>
      <c r="T667">
        <v>781739</v>
      </c>
      <c r="U667">
        <v>4</v>
      </c>
      <c r="V667" t="s">
        <v>1574</v>
      </c>
      <c r="W667" t="s">
        <v>1593</v>
      </c>
      <c r="X667">
        <v>8.2799999999999994</v>
      </c>
    </row>
    <row r="668" spans="1:24" x14ac:dyDescent="0.25">
      <c r="A668" t="s">
        <v>688</v>
      </c>
      <c r="B668" s="4">
        <v>45738</v>
      </c>
      <c r="C668" s="4" t="str">
        <f t="shared" si="20"/>
        <v>Mar</v>
      </c>
      <c r="D668" t="s">
        <v>1522</v>
      </c>
      <c r="E668" t="s">
        <v>1525</v>
      </c>
      <c r="F668" t="s">
        <v>1531</v>
      </c>
      <c r="G668" t="s">
        <v>1540</v>
      </c>
      <c r="H668" t="s">
        <v>4</v>
      </c>
      <c r="I668">
        <v>2022</v>
      </c>
      <c r="J668" t="s">
        <v>1554</v>
      </c>
      <c r="K668" t="s">
        <v>1556</v>
      </c>
      <c r="L668">
        <v>1347606</v>
      </c>
      <c r="M668">
        <v>1138639</v>
      </c>
      <c r="N668">
        <v>208967</v>
      </c>
      <c r="O668">
        <v>45</v>
      </c>
      <c r="P668" t="str">
        <f t="shared" si="21"/>
        <v>adult</v>
      </c>
      <c r="Q668" t="s">
        <v>1558</v>
      </c>
      <c r="R668" t="s">
        <v>1566</v>
      </c>
      <c r="S668" t="s">
        <v>1569</v>
      </c>
      <c r="T668">
        <v>1235511</v>
      </c>
      <c r="U668">
        <v>1</v>
      </c>
      <c r="V668" t="s">
        <v>1588</v>
      </c>
      <c r="W668" t="s">
        <v>1591</v>
      </c>
      <c r="X668">
        <v>15.51</v>
      </c>
    </row>
    <row r="669" spans="1:24" x14ac:dyDescent="0.25">
      <c r="A669" t="s">
        <v>689</v>
      </c>
      <c r="B669" s="4">
        <v>45886</v>
      </c>
      <c r="C669" s="4" t="str">
        <f t="shared" si="20"/>
        <v>Aug</v>
      </c>
      <c r="D669" t="s">
        <v>1522</v>
      </c>
      <c r="E669" t="s">
        <v>1524</v>
      </c>
      <c r="F669" t="s">
        <v>1529</v>
      </c>
      <c r="G669" t="s">
        <v>1547</v>
      </c>
      <c r="H669" t="s">
        <v>1552</v>
      </c>
      <c r="I669">
        <v>2023</v>
      </c>
      <c r="J669" t="s">
        <v>1555</v>
      </c>
      <c r="K669" t="s">
        <v>1556</v>
      </c>
      <c r="L669">
        <v>1897682</v>
      </c>
      <c r="M669">
        <v>1562060</v>
      </c>
      <c r="N669">
        <v>335622</v>
      </c>
      <c r="O669">
        <v>47</v>
      </c>
      <c r="P669" t="str">
        <f t="shared" si="21"/>
        <v>adult</v>
      </c>
      <c r="Q669" t="s">
        <v>1558</v>
      </c>
      <c r="R669" t="s">
        <v>1565</v>
      </c>
      <c r="S669" t="s">
        <v>1570</v>
      </c>
      <c r="T669">
        <v>1800505</v>
      </c>
      <c r="U669">
        <v>4</v>
      </c>
      <c r="V669" t="s">
        <v>1585</v>
      </c>
      <c r="W669" t="s">
        <v>1594</v>
      </c>
      <c r="X669">
        <v>17.690000000000001</v>
      </c>
    </row>
    <row r="670" spans="1:24" x14ac:dyDescent="0.25">
      <c r="A670" t="s">
        <v>690</v>
      </c>
      <c r="B670" s="4">
        <v>45976</v>
      </c>
      <c r="C670" s="4" t="str">
        <f t="shared" si="20"/>
        <v>Nov</v>
      </c>
      <c r="D670" t="s">
        <v>1522</v>
      </c>
      <c r="E670" t="s">
        <v>1527</v>
      </c>
      <c r="F670" t="s">
        <v>1530</v>
      </c>
      <c r="G670" t="s">
        <v>1543</v>
      </c>
      <c r="H670" t="s">
        <v>1552</v>
      </c>
      <c r="I670">
        <v>2024</v>
      </c>
      <c r="J670" t="s">
        <v>1555</v>
      </c>
      <c r="K670" t="s">
        <v>1556</v>
      </c>
      <c r="L670">
        <v>1830188</v>
      </c>
      <c r="M670">
        <v>1600453</v>
      </c>
      <c r="N670">
        <v>229735</v>
      </c>
      <c r="O670">
        <v>61</v>
      </c>
      <c r="P670" t="str">
        <f t="shared" si="21"/>
        <v>senior</v>
      </c>
      <c r="Q670" t="s">
        <v>1558</v>
      </c>
      <c r="R670" t="s">
        <v>1563</v>
      </c>
      <c r="S670" t="s">
        <v>1567</v>
      </c>
      <c r="T670">
        <v>995292</v>
      </c>
      <c r="U670">
        <v>3</v>
      </c>
      <c r="V670" t="s">
        <v>1583</v>
      </c>
      <c r="W670" t="s">
        <v>1593</v>
      </c>
      <c r="X670">
        <v>12.55</v>
      </c>
    </row>
    <row r="671" spans="1:24" x14ac:dyDescent="0.25">
      <c r="A671" t="s">
        <v>691</v>
      </c>
      <c r="B671" s="4">
        <v>46223</v>
      </c>
      <c r="C671" s="4" t="str">
        <f t="shared" si="20"/>
        <v>Jul</v>
      </c>
      <c r="D671" t="s">
        <v>1522</v>
      </c>
      <c r="E671" t="s">
        <v>1523</v>
      </c>
      <c r="F671" t="s">
        <v>1534</v>
      </c>
      <c r="G671" t="s">
        <v>1538</v>
      </c>
      <c r="H671" t="s">
        <v>4</v>
      </c>
      <c r="I671">
        <v>2023</v>
      </c>
      <c r="J671" t="s">
        <v>1554</v>
      </c>
      <c r="K671" t="s">
        <v>1556</v>
      </c>
      <c r="L671">
        <v>1323908</v>
      </c>
      <c r="M671">
        <v>1139415</v>
      </c>
      <c r="N671">
        <v>184493</v>
      </c>
      <c r="O671">
        <v>49</v>
      </c>
      <c r="P671" t="str">
        <f t="shared" si="21"/>
        <v>adult</v>
      </c>
      <c r="Q671" t="s">
        <v>1558</v>
      </c>
      <c r="R671" t="s">
        <v>1566</v>
      </c>
      <c r="S671" t="s">
        <v>1567</v>
      </c>
      <c r="T671">
        <v>1065742</v>
      </c>
      <c r="U671">
        <v>3</v>
      </c>
      <c r="V671" t="s">
        <v>1587</v>
      </c>
      <c r="W671" t="s">
        <v>1594</v>
      </c>
      <c r="X671">
        <v>13.94</v>
      </c>
    </row>
    <row r="672" spans="1:24" x14ac:dyDescent="0.25">
      <c r="A672" t="s">
        <v>692</v>
      </c>
      <c r="B672" s="4">
        <v>46124</v>
      </c>
      <c r="C672" s="4" t="str">
        <f t="shared" si="20"/>
        <v>Apr</v>
      </c>
      <c r="D672" t="s">
        <v>1522</v>
      </c>
      <c r="E672" t="s">
        <v>1525</v>
      </c>
      <c r="F672" t="s">
        <v>1533</v>
      </c>
      <c r="G672" t="s">
        <v>1547</v>
      </c>
      <c r="H672" t="s">
        <v>1552</v>
      </c>
      <c r="I672">
        <v>2023</v>
      </c>
      <c r="J672" t="s">
        <v>1555</v>
      </c>
      <c r="K672" t="s">
        <v>1556</v>
      </c>
      <c r="L672">
        <v>2010108</v>
      </c>
      <c r="M672">
        <v>1697361</v>
      </c>
      <c r="N672">
        <v>312747</v>
      </c>
      <c r="O672">
        <v>56</v>
      </c>
      <c r="P672" t="str">
        <f t="shared" si="21"/>
        <v>senior</v>
      </c>
      <c r="Q672" t="s">
        <v>1558</v>
      </c>
      <c r="R672" t="s">
        <v>1561</v>
      </c>
      <c r="S672" t="s">
        <v>1568</v>
      </c>
      <c r="T672">
        <v>1181912</v>
      </c>
      <c r="U672">
        <v>2</v>
      </c>
      <c r="V672" t="s">
        <v>1580</v>
      </c>
      <c r="W672" t="s">
        <v>1592</v>
      </c>
      <c r="X672">
        <v>15.56</v>
      </c>
    </row>
    <row r="673" spans="1:24" x14ac:dyDescent="0.25">
      <c r="A673" t="s">
        <v>693</v>
      </c>
      <c r="B673" s="4">
        <v>45951</v>
      </c>
      <c r="C673" s="4" t="str">
        <f t="shared" si="20"/>
        <v>Oct</v>
      </c>
      <c r="D673" t="s">
        <v>1522</v>
      </c>
      <c r="E673" t="s">
        <v>1527</v>
      </c>
      <c r="F673" t="s">
        <v>1533</v>
      </c>
      <c r="G673" t="s">
        <v>1544</v>
      </c>
      <c r="H673" t="s">
        <v>1550</v>
      </c>
      <c r="I673">
        <v>2025</v>
      </c>
      <c r="J673" t="s">
        <v>1554</v>
      </c>
      <c r="K673" t="s">
        <v>1556</v>
      </c>
      <c r="L673">
        <v>1452552</v>
      </c>
      <c r="M673">
        <v>1316872</v>
      </c>
      <c r="N673">
        <v>135680</v>
      </c>
      <c r="O673">
        <v>25</v>
      </c>
      <c r="P673" t="str">
        <f t="shared" si="21"/>
        <v>young</v>
      </c>
      <c r="Q673" t="s">
        <v>1558</v>
      </c>
      <c r="R673" t="s">
        <v>1561</v>
      </c>
      <c r="S673" t="s">
        <v>1568</v>
      </c>
      <c r="T673">
        <v>2073468</v>
      </c>
      <c r="U673">
        <v>5</v>
      </c>
      <c r="V673" t="s">
        <v>1574</v>
      </c>
      <c r="W673" t="s">
        <v>1593</v>
      </c>
      <c r="X673">
        <v>9.34</v>
      </c>
    </row>
    <row r="674" spans="1:24" x14ac:dyDescent="0.25">
      <c r="A674" t="s">
        <v>694</v>
      </c>
      <c r="B674" s="4">
        <v>45900</v>
      </c>
      <c r="C674" s="4" t="str">
        <f t="shared" si="20"/>
        <v>Aug</v>
      </c>
      <c r="D674" t="s">
        <v>1522</v>
      </c>
      <c r="E674" t="s">
        <v>1526</v>
      </c>
      <c r="F674" t="s">
        <v>1534</v>
      </c>
      <c r="G674" t="s">
        <v>1538</v>
      </c>
      <c r="H674" t="s">
        <v>1550</v>
      </c>
      <c r="I674">
        <v>2024</v>
      </c>
      <c r="J674" t="s">
        <v>1554</v>
      </c>
      <c r="K674" t="s">
        <v>1556</v>
      </c>
      <c r="L674">
        <v>1144168</v>
      </c>
      <c r="M674">
        <v>1098330</v>
      </c>
      <c r="N674">
        <v>45838</v>
      </c>
      <c r="O674">
        <v>51</v>
      </c>
      <c r="P674" t="str">
        <f t="shared" si="21"/>
        <v>senior</v>
      </c>
      <c r="Q674" t="s">
        <v>1559</v>
      </c>
      <c r="R674" t="s">
        <v>1563</v>
      </c>
      <c r="S674" t="s">
        <v>1568</v>
      </c>
      <c r="T674">
        <v>1449570</v>
      </c>
      <c r="U674">
        <v>1</v>
      </c>
      <c r="V674" t="s">
        <v>1585</v>
      </c>
      <c r="W674" t="s">
        <v>1594</v>
      </c>
      <c r="X674">
        <v>4.01</v>
      </c>
    </row>
    <row r="675" spans="1:24" x14ac:dyDescent="0.25">
      <c r="A675" t="s">
        <v>695</v>
      </c>
      <c r="B675" s="4">
        <v>45724</v>
      </c>
      <c r="C675" s="4" t="str">
        <f t="shared" si="20"/>
        <v>Mar</v>
      </c>
      <c r="D675" t="s">
        <v>1522</v>
      </c>
      <c r="E675" t="s">
        <v>1523</v>
      </c>
      <c r="F675" t="s">
        <v>1537</v>
      </c>
      <c r="G675" t="s">
        <v>1547</v>
      </c>
      <c r="H675" t="s">
        <v>1551</v>
      </c>
      <c r="I675">
        <v>2025</v>
      </c>
      <c r="J675" t="s">
        <v>1554</v>
      </c>
      <c r="K675" t="s">
        <v>1556</v>
      </c>
      <c r="L675">
        <v>968939</v>
      </c>
      <c r="M675">
        <v>875510</v>
      </c>
      <c r="N675">
        <v>93429</v>
      </c>
      <c r="O675">
        <v>28</v>
      </c>
      <c r="P675" t="str">
        <f t="shared" si="21"/>
        <v>young</v>
      </c>
      <c r="Q675" t="s">
        <v>1558</v>
      </c>
      <c r="R675" t="s">
        <v>1564</v>
      </c>
      <c r="S675" t="s">
        <v>1570</v>
      </c>
      <c r="T675">
        <v>1140443</v>
      </c>
      <c r="U675">
        <v>2</v>
      </c>
      <c r="V675" t="s">
        <v>1588</v>
      </c>
      <c r="W675" t="s">
        <v>1591</v>
      </c>
      <c r="X675">
        <v>9.64</v>
      </c>
    </row>
    <row r="676" spans="1:24" x14ac:dyDescent="0.25">
      <c r="A676" t="s">
        <v>696</v>
      </c>
      <c r="B676" s="4">
        <v>45804</v>
      </c>
      <c r="C676" s="4" t="str">
        <f t="shared" si="20"/>
        <v>May</v>
      </c>
      <c r="D676" t="s">
        <v>1522</v>
      </c>
      <c r="E676" t="s">
        <v>1527</v>
      </c>
      <c r="F676" t="s">
        <v>1535</v>
      </c>
      <c r="G676" t="s">
        <v>1540</v>
      </c>
      <c r="H676" t="s">
        <v>1551</v>
      </c>
      <c r="I676">
        <v>2024</v>
      </c>
      <c r="J676" t="s">
        <v>1554</v>
      </c>
      <c r="K676" t="s">
        <v>1557</v>
      </c>
      <c r="L676">
        <v>1012979</v>
      </c>
      <c r="M676">
        <v>955062</v>
      </c>
      <c r="N676">
        <v>57917</v>
      </c>
      <c r="O676">
        <v>47</v>
      </c>
      <c r="P676" t="str">
        <f t="shared" si="21"/>
        <v>adult</v>
      </c>
      <c r="Q676" t="s">
        <v>1559</v>
      </c>
      <c r="R676" t="s">
        <v>1562</v>
      </c>
      <c r="S676" t="s">
        <v>1570</v>
      </c>
      <c r="T676">
        <v>1563052</v>
      </c>
      <c r="U676">
        <v>1</v>
      </c>
      <c r="V676" t="s">
        <v>1572</v>
      </c>
      <c r="W676" t="s">
        <v>1592</v>
      </c>
      <c r="X676">
        <v>5.72</v>
      </c>
    </row>
    <row r="677" spans="1:24" x14ac:dyDescent="0.25">
      <c r="A677" t="s">
        <v>697</v>
      </c>
      <c r="B677" s="4">
        <v>46099</v>
      </c>
      <c r="C677" s="4" t="str">
        <f t="shared" si="20"/>
        <v>Mar</v>
      </c>
      <c r="D677" t="s">
        <v>1522</v>
      </c>
      <c r="E677" t="s">
        <v>1526</v>
      </c>
      <c r="F677" t="s">
        <v>1529</v>
      </c>
      <c r="G677" t="s">
        <v>1543</v>
      </c>
      <c r="H677" t="s">
        <v>4</v>
      </c>
      <c r="I677">
        <v>2024</v>
      </c>
      <c r="J677" t="s">
        <v>1554</v>
      </c>
      <c r="K677" t="s">
        <v>1556</v>
      </c>
      <c r="L677">
        <v>1775485</v>
      </c>
      <c r="M677">
        <v>1591217</v>
      </c>
      <c r="N677">
        <v>184268</v>
      </c>
      <c r="O677">
        <v>32</v>
      </c>
      <c r="P677" t="str">
        <f t="shared" si="21"/>
        <v>adult</v>
      </c>
      <c r="Q677" t="s">
        <v>1558</v>
      </c>
      <c r="R677" t="s">
        <v>1561</v>
      </c>
      <c r="S677" t="s">
        <v>1568</v>
      </c>
      <c r="T677">
        <v>48838</v>
      </c>
      <c r="U677">
        <v>2</v>
      </c>
      <c r="V677" t="s">
        <v>1586</v>
      </c>
      <c r="W677" t="s">
        <v>1591</v>
      </c>
      <c r="X677">
        <v>10.38</v>
      </c>
    </row>
    <row r="678" spans="1:24" x14ac:dyDescent="0.25">
      <c r="A678" t="s">
        <v>698</v>
      </c>
      <c r="B678" s="4">
        <v>45847</v>
      </c>
      <c r="C678" s="4" t="str">
        <f t="shared" si="20"/>
        <v>Jul</v>
      </c>
      <c r="D678" t="s">
        <v>1522</v>
      </c>
      <c r="E678" t="s">
        <v>1524</v>
      </c>
      <c r="F678" t="s">
        <v>1530</v>
      </c>
      <c r="G678" t="s">
        <v>1546</v>
      </c>
      <c r="H678" t="s">
        <v>4</v>
      </c>
      <c r="I678">
        <v>2025</v>
      </c>
      <c r="J678" t="s">
        <v>1554</v>
      </c>
      <c r="K678" t="s">
        <v>1556</v>
      </c>
      <c r="L678">
        <v>1408120</v>
      </c>
      <c r="M678">
        <v>1291951</v>
      </c>
      <c r="N678">
        <v>116169</v>
      </c>
      <c r="O678">
        <v>43</v>
      </c>
      <c r="P678" t="str">
        <f t="shared" si="21"/>
        <v>adult</v>
      </c>
      <c r="Q678" t="s">
        <v>1558</v>
      </c>
      <c r="R678" t="s">
        <v>1564</v>
      </c>
      <c r="S678" t="s">
        <v>1568</v>
      </c>
      <c r="T678">
        <v>2140040</v>
      </c>
      <c r="U678">
        <v>2</v>
      </c>
      <c r="V678" t="s">
        <v>1579</v>
      </c>
      <c r="W678" t="s">
        <v>1594</v>
      </c>
      <c r="X678">
        <v>8.25</v>
      </c>
    </row>
    <row r="679" spans="1:24" x14ac:dyDescent="0.25">
      <c r="A679" t="s">
        <v>699</v>
      </c>
      <c r="B679" s="4">
        <v>45727</v>
      </c>
      <c r="C679" s="4" t="str">
        <f t="shared" si="20"/>
        <v>Mar</v>
      </c>
      <c r="D679" t="s">
        <v>1522</v>
      </c>
      <c r="E679" t="s">
        <v>1524</v>
      </c>
      <c r="F679" t="s">
        <v>1530</v>
      </c>
      <c r="G679" t="s">
        <v>1541</v>
      </c>
      <c r="H679" t="s">
        <v>4</v>
      </c>
      <c r="I679">
        <v>2026</v>
      </c>
      <c r="J679" t="s">
        <v>1554</v>
      </c>
      <c r="K679" t="s">
        <v>1556</v>
      </c>
      <c r="L679">
        <v>1365952</v>
      </c>
      <c r="M679">
        <v>1243546</v>
      </c>
      <c r="N679">
        <v>122406</v>
      </c>
      <c r="O679">
        <v>33</v>
      </c>
      <c r="P679" t="str">
        <f t="shared" si="21"/>
        <v>adult</v>
      </c>
      <c r="Q679" t="s">
        <v>1558</v>
      </c>
      <c r="R679" t="s">
        <v>1564</v>
      </c>
      <c r="S679" t="s">
        <v>1568</v>
      </c>
      <c r="T679">
        <v>112014</v>
      </c>
      <c r="U679">
        <v>1</v>
      </c>
      <c r="V679" t="s">
        <v>1588</v>
      </c>
      <c r="W679" t="s">
        <v>1591</v>
      </c>
      <c r="X679">
        <v>8.9600000000000009</v>
      </c>
    </row>
    <row r="680" spans="1:24" x14ac:dyDescent="0.25">
      <c r="A680" t="s">
        <v>700</v>
      </c>
      <c r="B680" s="4">
        <v>46250</v>
      </c>
      <c r="C680" s="4" t="str">
        <f t="shared" si="20"/>
        <v>Aug</v>
      </c>
      <c r="D680" t="s">
        <v>1522</v>
      </c>
      <c r="E680" t="s">
        <v>1525</v>
      </c>
      <c r="F680" t="s">
        <v>1529</v>
      </c>
      <c r="G680" t="s">
        <v>1549</v>
      </c>
      <c r="H680" t="s">
        <v>4</v>
      </c>
      <c r="I680">
        <v>2024</v>
      </c>
      <c r="J680" t="s">
        <v>1554</v>
      </c>
      <c r="K680" t="s">
        <v>1557</v>
      </c>
      <c r="L680">
        <v>1608599</v>
      </c>
      <c r="M680">
        <v>1482490</v>
      </c>
      <c r="N680">
        <v>126109</v>
      </c>
      <c r="O680">
        <v>22</v>
      </c>
      <c r="P680" t="str">
        <f t="shared" si="21"/>
        <v>young</v>
      </c>
      <c r="Q680" t="s">
        <v>1559</v>
      </c>
      <c r="R680" t="s">
        <v>1565</v>
      </c>
      <c r="S680" t="s">
        <v>1567</v>
      </c>
      <c r="T680">
        <v>1330779</v>
      </c>
      <c r="U680">
        <v>5</v>
      </c>
      <c r="V680" t="s">
        <v>1576</v>
      </c>
      <c r="W680" t="s">
        <v>1594</v>
      </c>
      <c r="X680">
        <v>7.84</v>
      </c>
    </row>
    <row r="681" spans="1:24" x14ac:dyDescent="0.25">
      <c r="A681" t="s">
        <v>701</v>
      </c>
      <c r="B681" s="4">
        <v>46198</v>
      </c>
      <c r="C681" s="4" t="str">
        <f t="shared" si="20"/>
        <v>Jun</v>
      </c>
      <c r="D681" t="s">
        <v>1522</v>
      </c>
      <c r="E681" t="s">
        <v>1527</v>
      </c>
      <c r="F681" t="s">
        <v>1534</v>
      </c>
      <c r="G681" t="s">
        <v>1545</v>
      </c>
      <c r="H681" t="s">
        <v>4</v>
      </c>
      <c r="I681">
        <v>2024</v>
      </c>
      <c r="J681" t="s">
        <v>1554</v>
      </c>
      <c r="K681" t="s">
        <v>1556</v>
      </c>
      <c r="L681">
        <v>1690563</v>
      </c>
      <c r="M681">
        <v>1437516</v>
      </c>
      <c r="N681">
        <v>253047</v>
      </c>
      <c r="O681">
        <v>25</v>
      </c>
      <c r="P681" t="str">
        <f t="shared" si="21"/>
        <v>young</v>
      </c>
      <c r="Q681" t="s">
        <v>1558</v>
      </c>
      <c r="R681" t="s">
        <v>1563</v>
      </c>
      <c r="S681" t="s">
        <v>1567</v>
      </c>
      <c r="T681">
        <v>272840</v>
      </c>
      <c r="U681">
        <v>4</v>
      </c>
      <c r="V681" t="s">
        <v>1582</v>
      </c>
      <c r="W681" t="s">
        <v>1592</v>
      </c>
      <c r="X681">
        <v>14.97</v>
      </c>
    </row>
    <row r="682" spans="1:24" x14ac:dyDescent="0.25">
      <c r="A682" t="s">
        <v>702</v>
      </c>
      <c r="B682" s="4">
        <v>45694</v>
      </c>
      <c r="C682" s="4" t="str">
        <f t="shared" si="20"/>
        <v>Feb</v>
      </c>
      <c r="D682" t="s">
        <v>1522</v>
      </c>
      <c r="E682" t="s">
        <v>1526</v>
      </c>
      <c r="F682" t="s">
        <v>1529</v>
      </c>
      <c r="G682" t="s">
        <v>1543</v>
      </c>
      <c r="H682" t="s">
        <v>4</v>
      </c>
      <c r="I682">
        <v>2025</v>
      </c>
      <c r="J682" t="s">
        <v>1554</v>
      </c>
      <c r="K682" t="s">
        <v>1556</v>
      </c>
      <c r="L682">
        <v>1596892</v>
      </c>
      <c r="M682">
        <v>1311461</v>
      </c>
      <c r="N682">
        <v>285431</v>
      </c>
      <c r="O682">
        <v>43</v>
      </c>
      <c r="P682" t="str">
        <f t="shared" si="21"/>
        <v>adult</v>
      </c>
      <c r="Q682" t="s">
        <v>1559</v>
      </c>
      <c r="R682" t="s">
        <v>1565</v>
      </c>
      <c r="S682" t="s">
        <v>1568</v>
      </c>
      <c r="T682">
        <v>1181173</v>
      </c>
      <c r="U682">
        <v>4</v>
      </c>
      <c r="V682" t="s">
        <v>1578</v>
      </c>
      <c r="W682" t="s">
        <v>1591</v>
      </c>
      <c r="X682">
        <v>17.87</v>
      </c>
    </row>
    <row r="683" spans="1:24" x14ac:dyDescent="0.25">
      <c r="A683" t="s">
        <v>703</v>
      </c>
      <c r="B683" s="4">
        <v>46260</v>
      </c>
      <c r="C683" s="4" t="str">
        <f t="shared" si="20"/>
        <v>Aug</v>
      </c>
      <c r="D683" t="s">
        <v>1522</v>
      </c>
      <c r="E683" t="s">
        <v>1524</v>
      </c>
      <c r="F683" t="s">
        <v>1532</v>
      </c>
      <c r="G683" t="s">
        <v>1538</v>
      </c>
      <c r="H683" t="s">
        <v>1551</v>
      </c>
      <c r="I683">
        <v>2024</v>
      </c>
      <c r="J683" t="s">
        <v>1554</v>
      </c>
      <c r="K683" t="s">
        <v>1556</v>
      </c>
      <c r="L683">
        <v>864693</v>
      </c>
      <c r="M683">
        <v>766437</v>
      </c>
      <c r="N683">
        <v>98256</v>
      </c>
      <c r="O683">
        <v>59</v>
      </c>
      <c r="P683" t="str">
        <f t="shared" si="21"/>
        <v>senior</v>
      </c>
      <c r="Q683" t="s">
        <v>1559</v>
      </c>
      <c r="R683" t="s">
        <v>1563</v>
      </c>
      <c r="S683" t="s">
        <v>1567</v>
      </c>
      <c r="T683">
        <v>1378840</v>
      </c>
      <c r="U683">
        <v>3</v>
      </c>
      <c r="V683" t="s">
        <v>1576</v>
      </c>
      <c r="W683" t="s">
        <v>1594</v>
      </c>
      <c r="X683">
        <v>11.36</v>
      </c>
    </row>
    <row r="684" spans="1:24" x14ac:dyDescent="0.25">
      <c r="A684" t="s">
        <v>704</v>
      </c>
      <c r="B684" s="4">
        <v>45856</v>
      </c>
      <c r="C684" s="4" t="str">
        <f t="shared" si="20"/>
        <v>Jul</v>
      </c>
      <c r="D684" t="s">
        <v>1522</v>
      </c>
      <c r="E684" t="s">
        <v>1525</v>
      </c>
      <c r="F684" t="s">
        <v>1536</v>
      </c>
      <c r="G684" t="s">
        <v>1545</v>
      </c>
      <c r="H684" t="s">
        <v>1550</v>
      </c>
      <c r="I684">
        <v>2023</v>
      </c>
      <c r="J684" t="s">
        <v>1554</v>
      </c>
      <c r="K684" t="s">
        <v>1556</v>
      </c>
      <c r="L684">
        <v>1630415</v>
      </c>
      <c r="M684">
        <v>1448026</v>
      </c>
      <c r="N684">
        <v>182389</v>
      </c>
      <c r="O684">
        <v>52</v>
      </c>
      <c r="P684" t="str">
        <f t="shared" si="21"/>
        <v>senior</v>
      </c>
      <c r="Q684" t="s">
        <v>1558</v>
      </c>
      <c r="R684" t="s">
        <v>1564</v>
      </c>
      <c r="S684" t="s">
        <v>1569</v>
      </c>
      <c r="T684">
        <v>1920190</v>
      </c>
      <c r="U684">
        <v>4</v>
      </c>
      <c r="V684" t="s">
        <v>1579</v>
      </c>
      <c r="W684" t="s">
        <v>1594</v>
      </c>
      <c r="X684">
        <v>11.19</v>
      </c>
    </row>
    <row r="685" spans="1:24" x14ac:dyDescent="0.25">
      <c r="A685" t="s">
        <v>705</v>
      </c>
      <c r="B685" s="4">
        <v>46057</v>
      </c>
      <c r="C685" s="4" t="str">
        <f t="shared" si="20"/>
        <v>Feb</v>
      </c>
      <c r="D685" t="s">
        <v>1522</v>
      </c>
      <c r="E685" t="s">
        <v>1523</v>
      </c>
      <c r="F685" t="s">
        <v>1528</v>
      </c>
      <c r="G685" t="s">
        <v>1545</v>
      </c>
      <c r="H685" t="s">
        <v>1551</v>
      </c>
      <c r="I685">
        <v>2023</v>
      </c>
      <c r="J685" t="s">
        <v>1554</v>
      </c>
      <c r="K685" t="s">
        <v>1556</v>
      </c>
      <c r="L685">
        <v>963108</v>
      </c>
      <c r="M685">
        <v>821074</v>
      </c>
      <c r="N685">
        <v>142034</v>
      </c>
      <c r="O685">
        <v>47</v>
      </c>
      <c r="P685" t="str">
        <f t="shared" si="21"/>
        <v>adult</v>
      </c>
      <c r="Q685" t="s">
        <v>1558</v>
      </c>
      <c r="R685" t="s">
        <v>1561</v>
      </c>
      <c r="S685" t="s">
        <v>1567</v>
      </c>
      <c r="T685">
        <v>1330378</v>
      </c>
      <c r="U685">
        <v>4</v>
      </c>
      <c r="V685" t="s">
        <v>1589</v>
      </c>
      <c r="W685" t="s">
        <v>1591</v>
      </c>
      <c r="X685">
        <v>14.75</v>
      </c>
    </row>
    <row r="686" spans="1:24" x14ac:dyDescent="0.25">
      <c r="A686" t="s">
        <v>706</v>
      </c>
      <c r="B686" s="4">
        <v>46062</v>
      </c>
      <c r="C686" s="4" t="str">
        <f t="shared" si="20"/>
        <v>Feb</v>
      </c>
      <c r="D686" t="s">
        <v>1522</v>
      </c>
      <c r="E686" t="s">
        <v>1527</v>
      </c>
      <c r="F686" t="s">
        <v>1528</v>
      </c>
      <c r="G686" t="s">
        <v>1540</v>
      </c>
      <c r="H686" t="s">
        <v>1551</v>
      </c>
      <c r="I686">
        <v>2024</v>
      </c>
      <c r="J686" t="s">
        <v>1554</v>
      </c>
      <c r="K686" t="s">
        <v>1556</v>
      </c>
      <c r="L686">
        <v>956368</v>
      </c>
      <c r="M686">
        <v>843931</v>
      </c>
      <c r="N686">
        <v>112437</v>
      </c>
      <c r="O686">
        <v>36</v>
      </c>
      <c r="P686" t="str">
        <f t="shared" si="21"/>
        <v>adult</v>
      </c>
      <c r="Q686" t="s">
        <v>1560</v>
      </c>
      <c r="R686" t="s">
        <v>1561</v>
      </c>
      <c r="S686" t="s">
        <v>1567</v>
      </c>
      <c r="T686">
        <v>2168499</v>
      </c>
      <c r="U686">
        <v>1</v>
      </c>
      <c r="V686" t="s">
        <v>1589</v>
      </c>
      <c r="W686" t="s">
        <v>1591</v>
      </c>
      <c r="X686">
        <v>11.76</v>
      </c>
    </row>
    <row r="687" spans="1:24" x14ac:dyDescent="0.25">
      <c r="A687" t="s">
        <v>707</v>
      </c>
      <c r="B687" s="4">
        <v>46249</v>
      </c>
      <c r="C687" s="4" t="str">
        <f t="shared" si="20"/>
        <v>Aug</v>
      </c>
      <c r="D687" t="s">
        <v>1522</v>
      </c>
      <c r="E687" t="s">
        <v>1523</v>
      </c>
      <c r="F687" t="s">
        <v>1532</v>
      </c>
      <c r="G687" t="s">
        <v>1542</v>
      </c>
      <c r="H687" t="s">
        <v>1550</v>
      </c>
      <c r="I687">
        <v>2025</v>
      </c>
      <c r="J687" t="s">
        <v>1554</v>
      </c>
      <c r="K687" t="s">
        <v>1556</v>
      </c>
      <c r="L687">
        <v>1375169</v>
      </c>
      <c r="M687">
        <v>1199834</v>
      </c>
      <c r="N687">
        <v>175335</v>
      </c>
      <c r="O687">
        <v>43</v>
      </c>
      <c r="P687" t="str">
        <f t="shared" si="21"/>
        <v>adult</v>
      </c>
      <c r="Q687" t="s">
        <v>1559</v>
      </c>
      <c r="R687" t="s">
        <v>1566</v>
      </c>
      <c r="S687" t="s">
        <v>1568</v>
      </c>
      <c r="T687">
        <v>1770226</v>
      </c>
      <c r="U687">
        <v>2</v>
      </c>
      <c r="V687" t="s">
        <v>1576</v>
      </c>
      <c r="W687" t="s">
        <v>1594</v>
      </c>
      <c r="X687">
        <v>12.75</v>
      </c>
    </row>
    <row r="688" spans="1:24" x14ac:dyDescent="0.25">
      <c r="A688" t="s">
        <v>708</v>
      </c>
      <c r="B688" s="4">
        <v>46247</v>
      </c>
      <c r="C688" s="4" t="str">
        <f t="shared" si="20"/>
        <v>Aug</v>
      </c>
      <c r="D688" t="s">
        <v>1522</v>
      </c>
      <c r="E688" t="s">
        <v>1524</v>
      </c>
      <c r="F688" t="s">
        <v>1531</v>
      </c>
      <c r="G688" t="s">
        <v>1544</v>
      </c>
      <c r="H688" t="s">
        <v>1550</v>
      </c>
      <c r="I688">
        <v>2025</v>
      </c>
      <c r="J688" t="s">
        <v>1554</v>
      </c>
      <c r="K688" t="s">
        <v>1556</v>
      </c>
      <c r="L688">
        <v>1220695</v>
      </c>
      <c r="M688">
        <v>1178908</v>
      </c>
      <c r="N688">
        <v>41787</v>
      </c>
      <c r="O688">
        <v>58</v>
      </c>
      <c r="P688" t="str">
        <f t="shared" si="21"/>
        <v>senior</v>
      </c>
      <c r="Q688" t="s">
        <v>1559</v>
      </c>
      <c r="R688" t="s">
        <v>1564</v>
      </c>
      <c r="S688" t="s">
        <v>1567</v>
      </c>
      <c r="T688">
        <v>1253045</v>
      </c>
      <c r="U688">
        <v>4</v>
      </c>
      <c r="V688" t="s">
        <v>1576</v>
      </c>
      <c r="W688" t="s">
        <v>1594</v>
      </c>
      <c r="X688">
        <v>3.42</v>
      </c>
    </row>
    <row r="689" spans="1:24" x14ac:dyDescent="0.25">
      <c r="A689" t="s">
        <v>709</v>
      </c>
      <c r="B689" s="4">
        <v>46220</v>
      </c>
      <c r="C689" s="4" t="str">
        <f t="shared" si="20"/>
        <v>Jul</v>
      </c>
      <c r="D689" t="s">
        <v>1522</v>
      </c>
      <c r="E689" t="s">
        <v>1526</v>
      </c>
      <c r="F689" t="s">
        <v>1530</v>
      </c>
      <c r="G689" t="s">
        <v>1538</v>
      </c>
      <c r="H689" t="s">
        <v>1551</v>
      </c>
      <c r="I689">
        <v>2026</v>
      </c>
      <c r="J689" t="s">
        <v>1554</v>
      </c>
      <c r="K689" t="s">
        <v>1556</v>
      </c>
      <c r="L689">
        <v>974098</v>
      </c>
      <c r="M689">
        <v>833536</v>
      </c>
      <c r="N689">
        <v>140562</v>
      </c>
      <c r="O689">
        <v>29</v>
      </c>
      <c r="P689" t="str">
        <f t="shared" si="21"/>
        <v>young</v>
      </c>
      <c r="Q689" t="s">
        <v>1559</v>
      </c>
      <c r="R689" t="s">
        <v>1564</v>
      </c>
      <c r="S689" t="s">
        <v>1567</v>
      </c>
      <c r="T689">
        <v>646749</v>
      </c>
      <c r="U689">
        <v>3</v>
      </c>
      <c r="V689" t="s">
        <v>1587</v>
      </c>
      <c r="W689" t="s">
        <v>1594</v>
      </c>
      <c r="X689">
        <v>14.43</v>
      </c>
    </row>
    <row r="690" spans="1:24" x14ac:dyDescent="0.25">
      <c r="A690" t="s">
        <v>710</v>
      </c>
      <c r="B690" s="4">
        <v>45842</v>
      </c>
      <c r="C690" s="4" t="str">
        <f t="shared" si="20"/>
        <v>Jul</v>
      </c>
      <c r="D690" t="s">
        <v>1522</v>
      </c>
      <c r="E690" t="s">
        <v>1527</v>
      </c>
      <c r="F690" t="s">
        <v>1535</v>
      </c>
      <c r="G690" t="s">
        <v>1540</v>
      </c>
      <c r="H690" t="s">
        <v>1551</v>
      </c>
      <c r="I690">
        <v>2024</v>
      </c>
      <c r="J690" t="s">
        <v>1554</v>
      </c>
      <c r="K690" t="s">
        <v>1556</v>
      </c>
      <c r="L690">
        <v>813852</v>
      </c>
      <c r="M690">
        <v>666251</v>
      </c>
      <c r="N690">
        <v>147601</v>
      </c>
      <c r="O690">
        <v>65</v>
      </c>
      <c r="P690" t="str">
        <f t="shared" si="21"/>
        <v>senior</v>
      </c>
      <c r="Q690" t="s">
        <v>1558</v>
      </c>
      <c r="R690" t="s">
        <v>1564</v>
      </c>
      <c r="S690" t="s">
        <v>1567</v>
      </c>
      <c r="T690">
        <v>1799244</v>
      </c>
      <c r="U690">
        <v>2</v>
      </c>
      <c r="V690" t="s">
        <v>1579</v>
      </c>
      <c r="W690" t="s">
        <v>1594</v>
      </c>
      <c r="X690">
        <v>18.14</v>
      </c>
    </row>
    <row r="691" spans="1:24" x14ac:dyDescent="0.25">
      <c r="A691" t="s">
        <v>711</v>
      </c>
      <c r="B691" s="4">
        <v>45922</v>
      </c>
      <c r="C691" s="4" t="str">
        <f t="shared" si="20"/>
        <v>Sep</v>
      </c>
      <c r="D691" t="s">
        <v>1522</v>
      </c>
      <c r="E691" t="s">
        <v>1527</v>
      </c>
      <c r="F691" t="s">
        <v>1530</v>
      </c>
      <c r="G691" t="s">
        <v>1544</v>
      </c>
      <c r="H691" t="s">
        <v>1552</v>
      </c>
      <c r="I691">
        <v>2025</v>
      </c>
      <c r="J691" t="s">
        <v>1555</v>
      </c>
      <c r="K691" t="s">
        <v>1556</v>
      </c>
      <c r="L691">
        <v>1845624</v>
      </c>
      <c r="M691">
        <v>1535648</v>
      </c>
      <c r="N691">
        <v>309976</v>
      </c>
      <c r="O691">
        <v>27</v>
      </c>
      <c r="P691" t="str">
        <f t="shared" si="21"/>
        <v>young</v>
      </c>
      <c r="Q691" t="s">
        <v>1559</v>
      </c>
      <c r="R691" t="s">
        <v>1564</v>
      </c>
      <c r="S691" t="s">
        <v>1570</v>
      </c>
      <c r="T691">
        <v>1639344</v>
      </c>
      <c r="U691">
        <v>1</v>
      </c>
      <c r="V691" t="s">
        <v>1577</v>
      </c>
      <c r="W691" t="s">
        <v>1594</v>
      </c>
      <c r="X691">
        <v>16.8</v>
      </c>
    </row>
    <row r="692" spans="1:24" x14ac:dyDescent="0.25">
      <c r="A692" t="s">
        <v>712</v>
      </c>
      <c r="B692" s="4">
        <v>45691</v>
      </c>
      <c r="C692" s="4" t="str">
        <f t="shared" si="20"/>
        <v>Feb</v>
      </c>
      <c r="D692" t="s">
        <v>1522</v>
      </c>
      <c r="E692" t="s">
        <v>1524</v>
      </c>
      <c r="F692" t="s">
        <v>1537</v>
      </c>
      <c r="G692" t="s">
        <v>1547</v>
      </c>
      <c r="H692" t="s">
        <v>4</v>
      </c>
      <c r="I692">
        <v>2025</v>
      </c>
      <c r="J692" t="s">
        <v>1554</v>
      </c>
      <c r="K692" t="s">
        <v>1556</v>
      </c>
      <c r="L692">
        <v>1210058</v>
      </c>
      <c r="M692">
        <v>1056306</v>
      </c>
      <c r="N692">
        <v>153752</v>
      </c>
      <c r="O692">
        <v>61</v>
      </c>
      <c r="P692" t="str">
        <f t="shared" si="21"/>
        <v>senior</v>
      </c>
      <c r="Q692" t="s">
        <v>1558</v>
      </c>
      <c r="R692" t="s">
        <v>1562</v>
      </c>
      <c r="S692" t="s">
        <v>1567</v>
      </c>
      <c r="T692">
        <v>334968</v>
      </c>
      <c r="U692">
        <v>4</v>
      </c>
      <c r="V692" t="s">
        <v>1578</v>
      </c>
      <c r="W692" t="s">
        <v>1591</v>
      </c>
      <c r="X692">
        <v>12.71</v>
      </c>
    </row>
    <row r="693" spans="1:24" x14ac:dyDescent="0.25">
      <c r="A693" t="s">
        <v>713</v>
      </c>
      <c r="B693" s="4">
        <v>45738</v>
      </c>
      <c r="C693" s="4" t="str">
        <f t="shared" si="20"/>
        <v>Mar</v>
      </c>
      <c r="D693" t="s">
        <v>1522</v>
      </c>
      <c r="E693" t="s">
        <v>1523</v>
      </c>
      <c r="F693" t="s">
        <v>1534</v>
      </c>
      <c r="G693" t="s">
        <v>1543</v>
      </c>
      <c r="H693" t="s">
        <v>1551</v>
      </c>
      <c r="I693">
        <v>2026</v>
      </c>
      <c r="J693" t="s">
        <v>1554</v>
      </c>
      <c r="K693" t="s">
        <v>1557</v>
      </c>
      <c r="L693">
        <v>789592</v>
      </c>
      <c r="M693">
        <v>727455</v>
      </c>
      <c r="N693">
        <v>62137</v>
      </c>
      <c r="O693">
        <v>35</v>
      </c>
      <c r="P693" t="str">
        <f t="shared" si="21"/>
        <v>adult</v>
      </c>
      <c r="Q693" t="s">
        <v>1558</v>
      </c>
      <c r="R693" t="s">
        <v>1561</v>
      </c>
      <c r="S693" t="s">
        <v>1570</v>
      </c>
      <c r="T693">
        <v>1925598</v>
      </c>
      <c r="U693">
        <v>2</v>
      </c>
      <c r="V693" t="s">
        <v>1588</v>
      </c>
      <c r="W693" t="s">
        <v>1591</v>
      </c>
      <c r="X693">
        <v>7.87</v>
      </c>
    </row>
    <row r="694" spans="1:24" x14ac:dyDescent="0.25">
      <c r="A694" t="s">
        <v>714</v>
      </c>
      <c r="B694" s="4">
        <v>45848</v>
      </c>
      <c r="C694" s="4" t="str">
        <f t="shared" si="20"/>
        <v>Jul</v>
      </c>
      <c r="D694" t="s">
        <v>1522</v>
      </c>
      <c r="E694" t="s">
        <v>1526</v>
      </c>
      <c r="F694" t="s">
        <v>1532</v>
      </c>
      <c r="G694" t="s">
        <v>1545</v>
      </c>
      <c r="H694" t="s">
        <v>1550</v>
      </c>
      <c r="I694">
        <v>2026</v>
      </c>
      <c r="J694" t="s">
        <v>1554</v>
      </c>
      <c r="K694" t="s">
        <v>1556</v>
      </c>
      <c r="L694">
        <v>1654304</v>
      </c>
      <c r="M694">
        <v>1490295</v>
      </c>
      <c r="N694">
        <v>164009</v>
      </c>
      <c r="O694">
        <v>40</v>
      </c>
      <c r="P694" t="str">
        <f t="shared" si="21"/>
        <v>adult</v>
      </c>
      <c r="Q694" t="s">
        <v>1558</v>
      </c>
      <c r="R694" t="s">
        <v>1563</v>
      </c>
      <c r="S694" t="s">
        <v>1568</v>
      </c>
      <c r="T694">
        <v>841480</v>
      </c>
      <c r="U694">
        <v>1</v>
      </c>
      <c r="V694" t="s">
        <v>1579</v>
      </c>
      <c r="W694" t="s">
        <v>1594</v>
      </c>
      <c r="X694">
        <v>9.91</v>
      </c>
    </row>
    <row r="695" spans="1:24" x14ac:dyDescent="0.25">
      <c r="A695" t="s">
        <v>715</v>
      </c>
      <c r="B695" s="4">
        <v>46250</v>
      </c>
      <c r="C695" s="4" t="str">
        <f t="shared" si="20"/>
        <v>Aug</v>
      </c>
      <c r="D695" t="s">
        <v>1522</v>
      </c>
      <c r="E695" t="s">
        <v>1523</v>
      </c>
      <c r="F695" t="s">
        <v>1533</v>
      </c>
      <c r="G695" t="s">
        <v>1543</v>
      </c>
      <c r="H695" t="s">
        <v>1551</v>
      </c>
      <c r="I695">
        <v>2024</v>
      </c>
      <c r="J695" t="s">
        <v>1554</v>
      </c>
      <c r="K695" t="s">
        <v>1557</v>
      </c>
      <c r="L695">
        <v>1019219</v>
      </c>
      <c r="M695">
        <v>907246</v>
      </c>
      <c r="N695">
        <v>111973</v>
      </c>
      <c r="O695">
        <v>42</v>
      </c>
      <c r="P695" t="str">
        <f t="shared" si="21"/>
        <v>adult</v>
      </c>
      <c r="Q695" t="s">
        <v>1558</v>
      </c>
      <c r="R695" t="s">
        <v>1562</v>
      </c>
      <c r="S695" t="s">
        <v>1568</v>
      </c>
      <c r="T695">
        <v>446806</v>
      </c>
      <c r="U695">
        <v>2</v>
      </c>
      <c r="V695" t="s">
        <v>1576</v>
      </c>
      <c r="W695" t="s">
        <v>1594</v>
      </c>
      <c r="X695">
        <v>10.99</v>
      </c>
    </row>
    <row r="696" spans="1:24" x14ac:dyDescent="0.25">
      <c r="A696" t="s">
        <v>716</v>
      </c>
      <c r="B696" s="4">
        <v>46228</v>
      </c>
      <c r="C696" s="4" t="str">
        <f t="shared" si="20"/>
        <v>Jul</v>
      </c>
      <c r="D696" t="s">
        <v>1522</v>
      </c>
      <c r="E696" t="s">
        <v>1523</v>
      </c>
      <c r="F696" t="s">
        <v>1530</v>
      </c>
      <c r="G696" t="s">
        <v>1541</v>
      </c>
      <c r="H696" t="s">
        <v>1550</v>
      </c>
      <c r="I696">
        <v>2024</v>
      </c>
      <c r="J696" t="s">
        <v>1554</v>
      </c>
      <c r="K696" t="s">
        <v>1556</v>
      </c>
      <c r="L696">
        <v>1260790</v>
      </c>
      <c r="M696">
        <v>1070052</v>
      </c>
      <c r="N696">
        <v>190738</v>
      </c>
      <c r="O696">
        <v>51</v>
      </c>
      <c r="P696" t="str">
        <f t="shared" si="21"/>
        <v>senior</v>
      </c>
      <c r="Q696" t="s">
        <v>1559</v>
      </c>
      <c r="R696" t="s">
        <v>1563</v>
      </c>
      <c r="S696" t="s">
        <v>1570</v>
      </c>
      <c r="T696">
        <v>1880869</v>
      </c>
      <c r="U696">
        <v>2</v>
      </c>
      <c r="V696" t="s">
        <v>1587</v>
      </c>
      <c r="W696" t="s">
        <v>1594</v>
      </c>
      <c r="X696">
        <v>15.13</v>
      </c>
    </row>
    <row r="697" spans="1:24" x14ac:dyDescent="0.25">
      <c r="A697" t="s">
        <v>717</v>
      </c>
      <c r="B697" s="4">
        <v>45762</v>
      </c>
      <c r="C697" s="4" t="str">
        <f t="shared" si="20"/>
        <v>Apr</v>
      </c>
      <c r="D697" t="s">
        <v>1522</v>
      </c>
      <c r="E697" t="s">
        <v>1524</v>
      </c>
      <c r="F697" t="s">
        <v>1532</v>
      </c>
      <c r="G697" t="s">
        <v>1545</v>
      </c>
      <c r="H697" t="s">
        <v>1550</v>
      </c>
      <c r="I697">
        <v>2026</v>
      </c>
      <c r="J697" t="s">
        <v>1554</v>
      </c>
      <c r="K697" t="s">
        <v>1556</v>
      </c>
      <c r="L697">
        <v>1359753</v>
      </c>
      <c r="M697">
        <v>1095088</v>
      </c>
      <c r="N697">
        <v>264665</v>
      </c>
      <c r="O697">
        <v>45</v>
      </c>
      <c r="P697" t="str">
        <f t="shared" si="21"/>
        <v>adult</v>
      </c>
      <c r="Q697" t="s">
        <v>1558</v>
      </c>
      <c r="R697" t="s">
        <v>1564</v>
      </c>
      <c r="S697" t="s">
        <v>1569</v>
      </c>
      <c r="T697">
        <v>1895097</v>
      </c>
      <c r="U697">
        <v>3</v>
      </c>
      <c r="V697" t="s">
        <v>1573</v>
      </c>
      <c r="W697" t="s">
        <v>1592</v>
      </c>
      <c r="X697">
        <v>19.46</v>
      </c>
    </row>
    <row r="698" spans="1:24" x14ac:dyDescent="0.25">
      <c r="A698" t="s">
        <v>718</v>
      </c>
      <c r="B698" s="4">
        <v>45724</v>
      </c>
      <c r="C698" s="4" t="str">
        <f t="shared" si="20"/>
        <v>Mar</v>
      </c>
      <c r="D698" t="s">
        <v>1522</v>
      </c>
      <c r="E698" t="s">
        <v>1526</v>
      </c>
      <c r="F698" t="s">
        <v>1533</v>
      </c>
      <c r="G698" t="s">
        <v>1548</v>
      </c>
      <c r="H698" t="s">
        <v>1550</v>
      </c>
      <c r="I698">
        <v>2022</v>
      </c>
      <c r="J698" t="s">
        <v>1554</v>
      </c>
      <c r="K698" t="s">
        <v>1556</v>
      </c>
      <c r="L698">
        <v>1357953</v>
      </c>
      <c r="M698">
        <v>1200754</v>
      </c>
      <c r="N698">
        <v>157199</v>
      </c>
      <c r="O698">
        <v>54</v>
      </c>
      <c r="P698" t="str">
        <f t="shared" si="21"/>
        <v>senior</v>
      </c>
      <c r="Q698" t="s">
        <v>1558</v>
      </c>
      <c r="R698" t="s">
        <v>1565</v>
      </c>
      <c r="S698" t="s">
        <v>1567</v>
      </c>
      <c r="T698">
        <v>714748</v>
      </c>
      <c r="U698">
        <v>1</v>
      </c>
      <c r="V698" t="s">
        <v>1588</v>
      </c>
      <c r="W698" t="s">
        <v>1591</v>
      </c>
      <c r="X698">
        <v>11.58</v>
      </c>
    </row>
    <row r="699" spans="1:24" x14ac:dyDescent="0.25">
      <c r="A699" t="s">
        <v>719</v>
      </c>
      <c r="B699" s="4">
        <v>46262</v>
      </c>
      <c r="C699" s="4" t="str">
        <f t="shared" si="20"/>
        <v>Aug</v>
      </c>
      <c r="D699" t="s">
        <v>1522</v>
      </c>
      <c r="E699" t="s">
        <v>1524</v>
      </c>
      <c r="F699" t="s">
        <v>1535</v>
      </c>
      <c r="G699" t="s">
        <v>1541</v>
      </c>
      <c r="H699" t="s">
        <v>1551</v>
      </c>
      <c r="I699">
        <v>2025</v>
      </c>
      <c r="J699" t="s">
        <v>1554</v>
      </c>
      <c r="K699" t="s">
        <v>1556</v>
      </c>
      <c r="L699">
        <v>813391</v>
      </c>
      <c r="M699">
        <v>704754</v>
      </c>
      <c r="N699">
        <v>108637</v>
      </c>
      <c r="O699">
        <v>29</v>
      </c>
      <c r="P699" t="str">
        <f t="shared" si="21"/>
        <v>young</v>
      </c>
      <c r="Q699" t="s">
        <v>1558</v>
      </c>
      <c r="R699" t="s">
        <v>1566</v>
      </c>
      <c r="S699" t="s">
        <v>1567</v>
      </c>
      <c r="T699">
        <v>1872907</v>
      </c>
      <c r="U699">
        <v>2</v>
      </c>
      <c r="V699" t="s">
        <v>1576</v>
      </c>
      <c r="W699" t="s">
        <v>1594</v>
      </c>
      <c r="X699">
        <v>13.36</v>
      </c>
    </row>
    <row r="700" spans="1:24" x14ac:dyDescent="0.25">
      <c r="A700" t="s">
        <v>720</v>
      </c>
      <c r="B700" s="4">
        <v>45659</v>
      </c>
      <c r="C700" s="4" t="str">
        <f t="shared" si="20"/>
        <v>Jan</v>
      </c>
      <c r="D700" t="s">
        <v>1522</v>
      </c>
      <c r="E700" t="s">
        <v>1523</v>
      </c>
      <c r="F700" t="s">
        <v>1534</v>
      </c>
      <c r="G700" t="s">
        <v>1542</v>
      </c>
      <c r="H700" t="s">
        <v>1550</v>
      </c>
      <c r="I700">
        <v>2026</v>
      </c>
      <c r="J700" t="s">
        <v>1554</v>
      </c>
      <c r="K700" t="s">
        <v>1556</v>
      </c>
      <c r="L700">
        <v>1354187</v>
      </c>
      <c r="M700">
        <v>1138120</v>
      </c>
      <c r="N700">
        <v>216067</v>
      </c>
      <c r="O700">
        <v>34</v>
      </c>
      <c r="P700" t="str">
        <f t="shared" si="21"/>
        <v>adult</v>
      </c>
      <c r="Q700" t="s">
        <v>1559</v>
      </c>
      <c r="R700" t="s">
        <v>1565</v>
      </c>
      <c r="S700" t="s">
        <v>1568</v>
      </c>
      <c r="T700">
        <v>1291774</v>
      </c>
      <c r="U700">
        <v>2</v>
      </c>
      <c r="V700" t="s">
        <v>1571</v>
      </c>
      <c r="W700" t="s">
        <v>1591</v>
      </c>
      <c r="X700">
        <v>15.96</v>
      </c>
    </row>
    <row r="701" spans="1:24" x14ac:dyDescent="0.25">
      <c r="A701" t="s">
        <v>721</v>
      </c>
      <c r="B701" s="4">
        <v>45960</v>
      </c>
      <c r="C701" s="4" t="str">
        <f t="shared" si="20"/>
        <v>Oct</v>
      </c>
      <c r="D701" t="s">
        <v>1522</v>
      </c>
      <c r="E701" t="s">
        <v>1523</v>
      </c>
      <c r="F701" t="s">
        <v>1528</v>
      </c>
      <c r="G701" t="s">
        <v>1542</v>
      </c>
      <c r="H701" t="s">
        <v>1550</v>
      </c>
      <c r="I701">
        <v>2026</v>
      </c>
      <c r="J701" t="s">
        <v>1554</v>
      </c>
      <c r="K701" t="s">
        <v>1556</v>
      </c>
      <c r="L701">
        <v>1196419</v>
      </c>
      <c r="M701">
        <v>1016859</v>
      </c>
      <c r="N701">
        <v>179560</v>
      </c>
      <c r="O701">
        <v>58</v>
      </c>
      <c r="P701" t="str">
        <f t="shared" si="21"/>
        <v>senior</v>
      </c>
      <c r="Q701" t="s">
        <v>1559</v>
      </c>
      <c r="R701" t="s">
        <v>1562</v>
      </c>
      <c r="S701" t="s">
        <v>1567</v>
      </c>
      <c r="T701">
        <v>899960</v>
      </c>
      <c r="U701">
        <v>5</v>
      </c>
      <c r="V701" t="s">
        <v>1574</v>
      </c>
      <c r="W701" t="s">
        <v>1593</v>
      </c>
      <c r="X701">
        <v>15.01</v>
      </c>
    </row>
    <row r="702" spans="1:24" x14ac:dyDescent="0.25">
      <c r="A702" t="s">
        <v>722</v>
      </c>
      <c r="B702" s="4">
        <v>45687</v>
      </c>
      <c r="C702" s="4" t="str">
        <f t="shared" si="20"/>
        <v>Jan</v>
      </c>
      <c r="D702" t="s">
        <v>1522</v>
      </c>
      <c r="E702" t="s">
        <v>1524</v>
      </c>
      <c r="F702" t="s">
        <v>1534</v>
      </c>
      <c r="G702" t="s">
        <v>1544</v>
      </c>
      <c r="H702" t="s">
        <v>1551</v>
      </c>
      <c r="I702">
        <v>2022</v>
      </c>
      <c r="J702" t="s">
        <v>1554</v>
      </c>
      <c r="K702" t="s">
        <v>1556</v>
      </c>
      <c r="L702">
        <v>801087</v>
      </c>
      <c r="M702">
        <v>703950</v>
      </c>
      <c r="N702">
        <v>97137</v>
      </c>
      <c r="O702">
        <v>25</v>
      </c>
      <c r="P702" t="str">
        <f t="shared" si="21"/>
        <v>young</v>
      </c>
      <c r="Q702" t="s">
        <v>1558</v>
      </c>
      <c r="R702" t="s">
        <v>1562</v>
      </c>
      <c r="S702" t="s">
        <v>1567</v>
      </c>
      <c r="T702">
        <v>1506328</v>
      </c>
      <c r="U702">
        <v>4</v>
      </c>
      <c r="V702" t="s">
        <v>1571</v>
      </c>
      <c r="W702" t="s">
        <v>1591</v>
      </c>
      <c r="X702">
        <v>12.13</v>
      </c>
    </row>
    <row r="703" spans="1:24" x14ac:dyDescent="0.25">
      <c r="A703" t="s">
        <v>723</v>
      </c>
      <c r="B703" s="4">
        <v>45931</v>
      </c>
      <c r="C703" s="4" t="str">
        <f t="shared" si="20"/>
        <v>Oct</v>
      </c>
      <c r="D703" t="s">
        <v>1522</v>
      </c>
      <c r="E703" t="s">
        <v>1527</v>
      </c>
      <c r="F703" t="s">
        <v>1533</v>
      </c>
      <c r="G703" t="s">
        <v>1544</v>
      </c>
      <c r="H703" t="s">
        <v>4</v>
      </c>
      <c r="I703">
        <v>2025</v>
      </c>
      <c r="J703" t="s">
        <v>1554</v>
      </c>
      <c r="K703" t="s">
        <v>1557</v>
      </c>
      <c r="L703">
        <v>1406208</v>
      </c>
      <c r="M703">
        <v>1233520</v>
      </c>
      <c r="N703">
        <v>172688</v>
      </c>
      <c r="O703">
        <v>39</v>
      </c>
      <c r="P703" t="str">
        <f t="shared" si="21"/>
        <v>adult</v>
      </c>
      <c r="Q703" t="s">
        <v>1558</v>
      </c>
      <c r="R703" t="s">
        <v>1563</v>
      </c>
      <c r="S703" t="s">
        <v>1567</v>
      </c>
      <c r="T703">
        <v>1642078</v>
      </c>
      <c r="U703">
        <v>3</v>
      </c>
      <c r="V703" t="s">
        <v>1574</v>
      </c>
      <c r="W703" t="s">
        <v>1593</v>
      </c>
      <c r="X703">
        <v>12.28</v>
      </c>
    </row>
    <row r="704" spans="1:24" x14ac:dyDescent="0.25">
      <c r="A704" t="s">
        <v>724</v>
      </c>
      <c r="B704" s="4">
        <v>45824</v>
      </c>
      <c r="C704" s="4" t="str">
        <f t="shared" si="20"/>
        <v>Jun</v>
      </c>
      <c r="D704" t="s">
        <v>1522</v>
      </c>
      <c r="E704" t="s">
        <v>1526</v>
      </c>
      <c r="F704" t="s">
        <v>1536</v>
      </c>
      <c r="G704" t="s">
        <v>1543</v>
      </c>
      <c r="H704" t="s">
        <v>1552</v>
      </c>
      <c r="I704">
        <v>2024</v>
      </c>
      <c r="J704" t="s">
        <v>1555</v>
      </c>
      <c r="K704" t="s">
        <v>1556</v>
      </c>
      <c r="L704">
        <v>1959217</v>
      </c>
      <c r="M704">
        <v>1764959</v>
      </c>
      <c r="N704">
        <v>194258</v>
      </c>
      <c r="O704">
        <v>30</v>
      </c>
      <c r="P704" t="str">
        <f t="shared" si="21"/>
        <v>young</v>
      </c>
      <c r="Q704" t="s">
        <v>1558</v>
      </c>
      <c r="R704" t="s">
        <v>1562</v>
      </c>
      <c r="S704" t="s">
        <v>1570</v>
      </c>
      <c r="T704">
        <v>9111</v>
      </c>
      <c r="U704">
        <v>5</v>
      </c>
      <c r="V704" t="s">
        <v>1584</v>
      </c>
      <c r="W704" t="s">
        <v>1592</v>
      </c>
      <c r="X704">
        <v>9.92</v>
      </c>
    </row>
    <row r="705" spans="1:24" x14ac:dyDescent="0.25">
      <c r="A705" t="s">
        <v>725</v>
      </c>
      <c r="B705" s="4">
        <v>46010</v>
      </c>
      <c r="C705" s="4" t="str">
        <f t="shared" si="20"/>
        <v>Dec</v>
      </c>
      <c r="D705" t="s">
        <v>1522</v>
      </c>
      <c r="E705" t="s">
        <v>1525</v>
      </c>
      <c r="F705" t="s">
        <v>1533</v>
      </c>
      <c r="G705" t="s">
        <v>1549</v>
      </c>
      <c r="H705" t="s">
        <v>1551</v>
      </c>
      <c r="I705">
        <v>2022</v>
      </c>
      <c r="J705" t="s">
        <v>1554</v>
      </c>
      <c r="K705" t="s">
        <v>1557</v>
      </c>
      <c r="L705">
        <v>842804</v>
      </c>
      <c r="M705">
        <v>722458</v>
      </c>
      <c r="N705">
        <v>120346</v>
      </c>
      <c r="O705">
        <v>59</v>
      </c>
      <c r="P705" t="str">
        <f t="shared" si="21"/>
        <v>senior</v>
      </c>
      <c r="Q705" t="s">
        <v>1559</v>
      </c>
      <c r="R705" t="s">
        <v>1564</v>
      </c>
      <c r="S705" t="s">
        <v>1568</v>
      </c>
      <c r="T705">
        <v>2050513</v>
      </c>
      <c r="U705">
        <v>4</v>
      </c>
      <c r="V705" t="s">
        <v>1575</v>
      </c>
      <c r="W705" t="s">
        <v>1593</v>
      </c>
      <c r="X705">
        <v>14.28</v>
      </c>
    </row>
    <row r="706" spans="1:24" x14ac:dyDescent="0.25">
      <c r="A706" t="s">
        <v>726</v>
      </c>
      <c r="B706" s="4">
        <v>45835</v>
      </c>
      <c r="C706" s="4" t="str">
        <f t="shared" si="20"/>
        <v>Jun</v>
      </c>
      <c r="D706" t="s">
        <v>1522</v>
      </c>
      <c r="E706" t="s">
        <v>1525</v>
      </c>
      <c r="F706" t="s">
        <v>1534</v>
      </c>
      <c r="G706" t="s">
        <v>1549</v>
      </c>
      <c r="H706" t="s">
        <v>4</v>
      </c>
      <c r="I706">
        <v>2025</v>
      </c>
      <c r="J706" t="s">
        <v>1554</v>
      </c>
      <c r="K706" t="s">
        <v>1556</v>
      </c>
      <c r="L706">
        <v>1402142</v>
      </c>
      <c r="M706">
        <v>1161267</v>
      </c>
      <c r="N706">
        <v>240875</v>
      </c>
      <c r="O706">
        <v>28</v>
      </c>
      <c r="P706" t="str">
        <f t="shared" si="21"/>
        <v>young</v>
      </c>
      <c r="Q706" t="s">
        <v>1558</v>
      </c>
      <c r="R706" t="s">
        <v>1564</v>
      </c>
      <c r="S706" t="s">
        <v>1568</v>
      </c>
      <c r="T706">
        <v>567152</v>
      </c>
      <c r="U706">
        <v>4</v>
      </c>
      <c r="V706" t="s">
        <v>1584</v>
      </c>
      <c r="W706" t="s">
        <v>1592</v>
      </c>
      <c r="X706">
        <v>17.18</v>
      </c>
    </row>
    <row r="707" spans="1:24" x14ac:dyDescent="0.25">
      <c r="A707" t="s">
        <v>727</v>
      </c>
      <c r="B707" s="4">
        <v>46051</v>
      </c>
      <c r="C707" s="4" t="str">
        <f t="shared" ref="C707:C770" si="22">TEXT(B707,"MMM")</f>
        <v>Jan</v>
      </c>
      <c r="D707" t="s">
        <v>1522</v>
      </c>
      <c r="E707" t="s">
        <v>1525</v>
      </c>
      <c r="F707" t="s">
        <v>1531</v>
      </c>
      <c r="G707" t="s">
        <v>1541</v>
      </c>
      <c r="H707" t="s">
        <v>4</v>
      </c>
      <c r="I707">
        <v>2024</v>
      </c>
      <c r="J707" t="s">
        <v>1554</v>
      </c>
      <c r="K707" t="s">
        <v>1557</v>
      </c>
      <c r="L707">
        <v>1594719</v>
      </c>
      <c r="M707">
        <v>1374136</v>
      </c>
      <c r="N707">
        <v>220583</v>
      </c>
      <c r="O707">
        <v>50</v>
      </c>
      <c r="P707" t="str">
        <f t="shared" ref="P707:P770" si="23">IF(O707&gt;50,"senior",IF(O707&gt;30,"adult","young"))</f>
        <v>adult</v>
      </c>
      <c r="Q707" t="s">
        <v>1558</v>
      </c>
      <c r="R707" t="s">
        <v>1565</v>
      </c>
      <c r="S707" t="s">
        <v>1567</v>
      </c>
      <c r="T707">
        <v>2173843</v>
      </c>
      <c r="U707">
        <v>1</v>
      </c>
      <c r="V707" t="s">
        <v>1581</v>
      </c>
      <c r="W707" t="s">
        <v>1591</v>
      </c>
      <c r="X707">
        <v>13.83</v>
      </c>
    </row>
    <row r="708" spans="1:24" x14ac:dyDescent="0.25">
      <c r="A708" t="s">
        <v>728</v>
      </c>
      <c r="B708" s="4">
        <v>45776</v>
      </c>
      <c r="C708" s="4" t="str">
        <f t="shared" si="22"/>
        <v>Apr</v>
      </c>
      <c r="D708" t="s">
        <v>1522</v>
      </c>
      <c r="E708" t="s">
        <v>1527</v>
      </c>
      <c r="F708" t="s">
        <v>1534</v>
      </c>
      <c r="G708" t="s">
        <v>1547</v>
      </c>
      <c r="H708" t="s">
        <v>1551</v>
      </c>
      <c r="I708">
        <v>2025</v>
      </c>
      <c r="J708" t="s">
        <v>1554</v>
      </c>
      <c r="K708" t="s">
        <v>1556</v>
      </c>
      <c r="L708">
        <v>887741</v>
      </c>
      <c r="M708">
        <v>822240</v>
      </c>
      <c r="N708">
        <v>65501</v>
      </c>
      <c r="O708">
        <v>59</v>
      </c>
      <c r="P708" t="str">
        <f t="shared" si="23"/>
        <v>senior</v>
      </c>
      <c r="Q708" t="s">
        <v>1558</v>
      </c>
      <c r="R708" t="s">
        <v>1563</v>
      </c>
      <c r="S708" t="s">
        <v>1568</v>
      </c>
      <c r="T708">
        <v>1763251</v>
      </c>
      <c r="U708">
        <v>1</v>
      </c>
      <c r="V708" t="s">
        <v>1573</v>
      </c>
      <c r="W708" t="s">
        <v>1592</v>
      </c>
      <c r="X708">
        <v>7.38</v>
      </c>
    </row>
    <row r="709" spans="1:24" x14ac:dyDescent="0.25">
      <c r="A709" t="s">
        <v>729</v>
      </c>
      <c r="B709" s="4">
        <v>45727</v>
      </c>
      <c r="C709" s="4" t="str">
        <f t="shared" si="22"/>
        <v>Mar</v>
      </c>
      <c r="D709" t="s">
        <v>1522</v>
      </c>
      <c r="E709" t="s">
        <v>1524</v>
      </c>
      <c r="F709" t="s">
        <v>1532</v>
      </c>
      <c r="G709" t="s">
        <v>1549</v>
      </c>
      <c r="H709" t="s">
        <v>1551</v>
      </c>
      <c r="I709">
        <v>2024</v>
      </c>
      <c r="J709" t="s">
        <v>1554</v>
      </c>
      <c r="K709" t="s">
        <v>1557</v>
      </c>
      <c r="L709">
        <v>904104</v>
      </c>
      <c r="M709">
        <v>778580</v>
      </c>
      <c r="N709">
        <v>125524</v>
      </c>
      <c r="O709">
        <v>61</v>
      </c>
      <c r="P709" t="str">
        <f t="shared" si="23"/>
        <v>senior</v>
      </c>
      <c r="Q709" t="s">
        <v>1558</v>
      </c>
      <c r="R709" t="s">
        <v>1561</v>
      </c>
      <c r="S709" t="s">
        <v>1569</v>
      </c>
      <c r="T709">
        <v>1185352</v>
      </c>
      <c r="U709">
        <v>4</v>
      </c>
      <c r="V709" t="s">
        <v>1588</v>
      </c>
      <c r="W709" t="s">
        <v>1591</v>
      </c>
      <c r="X709">
        <v>13.88</v>
      </c>
    </row>
    <row r="710" spans="1:24" x14ac:dyDescent="0.25">
      <c r="A710" t="s">
        <v>730</v>
      </c>
      <c r="B710" s="4">
        <v>46258</v>
      </c>
      <c r="C710" s="4" t="str">
        <f t="shared" si="22"/>
        <v>Aug</v>
      </c>
      <c r="D710" t="s">
        <v>1522</v>
      </c>
      <c r="E710" t="s">
        <v>1526</v>
      </c>
      <c r="F710" t="s">
        <v>1531</v>
      </c>
      <c r="G710" t="s">
        <v>1547</v>
      </c>
      <c r="H710" t="s">
        <v>1551</v>
      </c>
      <c r="I710">
        <v>2024</v>
      </c>
      <c r="J710" t="s">
        <v>1554</v>
      </c>
      <c r="K710" t="s">
        <v>1556</v>
      </c>
      <c r="L710">
        <v>932950</v>
      </c>
      <c r="M710">
        <v>830624</v>
      </c>
      <c r="N710">
        <v>102326</v>
      </c>
      <c r="O710">
        <v>22</v>
      </c>
      <c r="P710" t="str">
        <f t="shared" si="23"/>
        <v>young</v>
      </c>
      <c r="Q710" t="s">
        <v>1558</v>
      </c>
      <c r="R710" t="s">
        <v>1561</v>
      </c>
      <c r="S710" t="s">
        <v>1569</v>
      </c>
      <c r="T710">
        <v>903689</v>
      </c>
      <c r="U710">
        <v>4</v>
      </c>
      <c r="V710" t="s">
        <v>1576</v>
      </c>
      <c r="W710" t="s">
        <v>1594</v>
      </c>
      <c r="X710">
        <v>10.97</v>
      </c>
    </row>
    <row r="711" spans="1:24" x14ac:dyDescent="0.25">
      <c r="A711" t="s">
        <v>731</v>
      </c>
      <c r="B711" s="4">
        <v>45666</v>
      </c>
      <c r="C711" s="4" t="str">
        <f t="shared" si="22"/>
        <v>Jan</v>
      </c>
      <c r="D711" t="s">
        <v>1522</v>
      </c>
      <c r="E711" t="s">
        <v>1526</v>
      </c>
      <c r="F711" t="s">
        <v>1532</v>
      </c>
      <c r="G711" t="s">
        <v>1549</v>
      </c>
      <c r="H711" t="s">
        <v>1551</v>
      </c>
      <c r="I711">
        <v>2025</v>
      </c>
      <c r="J711" t="s">
        <v>1554</v>
      </c>
      <c r="K711" t="s">
        <v>1556</v>
      </c>
      <c r="L711">
        <v>859448</v>
      </c>
      <c r="M711">
        <v>735178</v>
      </c>
      <c r="N711">
        <v>124270</v>
      </c>
      <c r="O711">
        <v>64</v>
      </c>
      <c r="P711" t="str">
        <f t="shared" si="23"/>
        <v>senior</v>
      </c>
      <c r="Q711" t="s">
        <v>1558</v>
      </c>
      <c r="R711" t="s">
        <v>1565</v>
      </c>
      <c r="S711" t="s">
        <v>1569</v>
      </c>
      <c r="T711">
        <v>866728</v>
      </c>
      <c r="U711">
        <v>2</v>
      </c>
      <c r="V711" t="s">
        <v>1571</v>
      </c>
      <c r="W711" t="s">
        <v>1591</v>
      </c>
      <c r="X711">
        <v>14.46</v>
      </c>
    </row>
    <row r="712" spans="1:24" x14ac:dyDescent="0.25">
      <c r="A712" t="s">
        <v>732</v>
      </c>
      <c r="B712" s="4">
        <v>45692</v>
      </c>
      <c r="C712" s="4" t="str">
        <f t="shared" si="22"/>
        <v>Feb</v>
      </c>
      <c r="D712" t="s">
        <v>1522</v>
      </c>
      <c r="E712" t="s">
        <v>1525</v>
      </c>
      <c r="F712" t="s">
        <v>1531</v>
      </c>
      <c r="G712" t="s">
        <v>1546</v>
      </c>
      <c r="H712" t="s">
        <v>4</v>
      </c>
      <c r="I712">
        <v>2025</v>
      </c>
      <c r="J712" t="s">
        <v>1554</v>
      </c>
      <c r="K712" t="s">
        <v>1556</v>
      </c>
      <c r="L712">
        <v>1292658</v>
      </c>
      <c r="M712">
        <v>1116260</v>
      </c>
      <c r="N712">
        <v>176398</v>
      </c>
      <c r="O712">
        <v>48</v>
      </c>
      <c r="P712" t="str">
        <f t="shared" si="23"/>
        <v>adult</v>
      </c>
      <c r="Q712" t="s">
        <v>1558</v>
      </c>
      <c r="R712" t="s">
        <v>1566</v>
      </c>
      <c r="S712" t="s">
        <v>1567</v>
      </c>
      <c r="T712">
        <v>1918633</v>
      </c>
      <c r="U712">
        <v>2</v>
      </c>
      <c r="V712" t="s">
        <v>1578</v>
      </c>
      <c r="W712" t="s">
        <v>1591</v>
      </c>
      <c r="X712">
        <v>13.65</v>
      </c>
    </row>
    <row r="713" spans="1:24" x14ac:dyDescent="0.25">
      <c r="A713" t="s">
        <v>733</v>
      </c>
      <c r="B713" s="4">
        <v>45874</v>
      </c>
      <c r="C713" s="4" t="str">
        <f t="shared" si="22"/>
        <v>Aug</v>
      </c>
      <c r="D713" t="s">
        <v>1522</v>
      </c>
      <c r="E713" t="s">
        <v>1526</v>
      </c>
      <c r="F713" t="s">
        <v>1535</v>
      </c>
      <c r="G713" t="s">
        <v>1545</v>
      </c>
      <c r="H713" t="s">
        <v>1552</v>
      </c>
      <c r="I713">
        <v>2023</v>
      </c>
      <c r="J713" t="s">
        <v>1555</v>
      </c>
      <c r="K713" t="s">
        <v>1556</v>
      </c>
      <c r="L713">
        <v>1996801</v>
      </c>
      <c r="M713">
        <v>1748686</v>
      </c>
      <c r="N713">
        <v>248115</v>
      </c>
      <c r="O713">
        <v>25</v>
      </c>
      <c r="P713" t="str">
        <f t="shared" si="23"/>
        <v>young</v>
      </c>
      <c r="Q713" t="s">
        <v>1558</v>
      </c>
      <c r="R713" t="s">
        <v>1566</v>
      </c>
      <c r="S713" t="s">
        <v>1568</v>
      </c>
      <c r="T713">
        <v>1648809</v>
      </c>
      <c r="U713">
        <v>4</v>
      </c>
      <c r="V713" t="s">
        <v>1585</v>
      </c>
      <c r="W713" t="s">
        <v>1594</v>
      </c>
      <c r="X713">
        <v>12.43</v>
      </c>
    </row>
    <row r="714" spans="1:24" x14ac:dyDescent="0.25">
      <c r="A714" t="s">
        <v>734</v>
      </c>
      <c r="B714" s="4">
        <v>45884</v>
      </c>
      <c r="C714" s="4" t="str">
        <f t="shared" si="22"/>
        <v>Aug</v>
      </c>
      <c r="D714" t="s">
        <v>1522</v>
      </c>
      <c r="E714" t="s">
        <v>1525</v>
      </c>
      <c r="F714" t="s">
        <v>1529</v>
      </c>
      <c r="G714" t="s">
        <v>1545</v>
      </c>
      <c r="H714" t="s">
        <v>4</v>
      </c>
      <c r="I714">
        <v>2025</v>
      </c>
      <c r="J714" t="s">
        <v>1554</v>
      </c>
      <c r="K714" t="s">
        <v>1557</v>
      </c>
      <c r="L714">
        <v>1695719</v>
      </c>
      <c r="M714">
        <v>1475822</v>
      </c>
      <c r="N714">
        <v>219897</v>
      </c>
      <c r="O714">
        <v>52</v>
      </c>
      <c r="P714" t="str">
        <f t="shared" si="23"/>
        <v>senior</v>
      </c>
      <c r="Q714" t="s">
        <v>1559</v>
      </c>
      <c r="R714" t="s">
        <v>1564</v>
      </c>
      <c r="S714" t="s">
        <v>1568</v>
      </c>
      <c r="T714">
        <v>1103753</v>
      </c>
      <c r="U714">
        <v>4</v>
      </c>
      <c r="V714" t="s">
        <v>1585</v>
      </c>
      <c r="W714" t="s">
        <v>1594</v>
      </c>
      <c r="X714">
        <v>12.97</v>
      </c>
    </row>
    <row r="715" spans="1:24" x14ac:dyDescent="0.25">
      <c r="A715" t="s">
        <v>735</v>
      </c>
      <c r="B715" s="4">
        <v>46121</v>
      </c>
      <c r="C715" s="4" t="str">
        <f t="shared" si="22"/>
        <v>Apr</v>
      </c>
      <c r="D715" t="s">
        <v>1522</v>
      </c>
      <c r="E715" t="s">
        <v>1524</v>
      </c>
      <c r="F715" t="s">
        <v>1529</v>
      </c>
      <c r="G715" t="s">
        <v>1544</v>
      </c>
      <c r="H715" t="s">
        <v>1552</v>
      </c>
      <c r="I715">
        <v>2023</v>
      </c>
      <c r="J715" t="s">
        <v>1555</v>
      </c>
      <c r="K715" t="s">
        <v>1556</v>
      </c>
      <c r="L715">
        <v>1928301</v>
      </c>
      <c r="M715">
        <v>1792303</v>
      </c>
      <c r="N715">
        <v>135998</v>
      </c>
      <c r="O715">
        <v>65</v>
      </c>
      <c r="P715" t="str">
        <f t="shared" si="23"/>
        <v>senior</v>
      </c>
      <c r="Q715" t="s">
        <v>1559</v>
      </c>
      <c r="R715" t="s">
        <v>1562</v>
      </c>
      <c r="S715" t="s">
        <v>1567</v>
      </c>
      <c r="T715">
        <v>1783735</v>
      </c>
      <c r="U715">
        <v>1</v>
      </c>
      <c r="V715" t="s">
        <v>1580</v>
      </c>
      <c r="W715" t="s">
        <v>1592</v>
      </c>
      <c r="X715">
        <v>7.05</v>
      </c>
    </row>
    <row r="716" spans="1:24" x14ac:dyDescent="0.25">
      <c r="A716" t="s">
        <v>736</v>
      </c>
      <c r="B716" s="4">
        <v>46265</v>
      </c>
      <c r="C716" s="4" t="str">
        <f t="shared" si="22"/>
        <v>Aug</v>
      </c>
      <c r="D716" t="s">
        <v>1522</v>
      </c>
      <c r="E716" t="s">
        <v>1526</v>
      </c>
      <c r="F716" t="s">
        <v>1534</v>
      </c>
      <c r="G716" t="s">
        <v>1543</v>
      </c>
      <c r="H716" t="s">
        <v>4</v>
      </c>
      <c r="I716">
        <v>2023</v>
      </c>
      <c r="J716" t="s">
        <v>1554</v>
      </c>
      <c r="K716" t="s">
        <v>1556</v>
      </c>
      <c r="L716">
        <v>1858811</v>
      </c>
      <c r="M716">
        <v>1500268</v>
      </c>
      <c r="N716">
        <v>358543</v>
      </c>
      <c r="O716">
        <v>58</v>
      </c>
      <c r="P716" t="str">
        <f t="shared" si="23"/>
        <v>senior</v>
      </c>
      <c r="Q716" t="s">
        <v>1558</v>
      </c>
      <c r="R716" t="s">
        <v>1561</v>
      </c>
      <c r="S716" t="s">
        <v>1570</v>
      </c>
      <c r="T716">
        <v>1392668</v>
      </c>
      <c r="U716">
        <v>1</v>
      </c>
      <c r="V716" t="s">
        <v>1576</v>
      </c>
      <c r="W716" t="s">
        <v>1594</v>
      </c>
      <c r="X716">
        <v>19.29</v>
      </c>
    </row>
    <row r="717" spans="1:24" x14ac:dyDescent="0.25">
      <c r="A717" t="s">
        <v>737</v>
      </c>
      <c r="B717" s="4">
        <v>46052</v>
      </c>
      <c r="C717" s="4" t="str">
        <f t="shared" si="22"/>
        <v>Jan</v>
      </c>
      <c r="D717" t="s">
        <v>1522</v>
      </c>
      <c r="E717" t="s">
        <v>1525</v>
      </c>
      <c r="F717" t="s">
        <v>1536</v>
      </c>
      <c r="G717" t="s">
        <v>1538</v>
      </c>
      <c r="H717" t="s">
        <v>1551</v>
      </c>
      <c r="I717">
        <v>2023</v>
      </c>
      <c r="J717" t="s">
        <v>1554</v>
      </c>
      <c r="K717" t="s">
        <v>1557</v>
      </c>
      <c r="L717">
        <v>1077096</v>
      </c>
      <c r="M717">
        <v>883868</v>
      </c>
      <c r="N717">
        <v>193228</v>
      </c>
      <c r="O717">
        <v>42</v>
      </c>
      <c r="P717" t="str">
        <f t="shared" si="23"/>
        <v>adult</v>
      </c>
      <c r="Q717" t="s">
        <v>1558</v>
      </c>
      <c r="R717" t="s">
        <v>1564</v>
      </c>
      <c r="S717" t="s">
        <v>1567</v>
      </c>
      <c r="T717">
        <v>1704825</v>
      </c>
      <c r="U717">
        <v>2</v>
      </c>
      <c r="V717" t="s">
        <v>1581</v>
      </c>
      <c r="W717" t="s">
        <v>1591</v>
      </c>
      <c r="X717">
        <v>17.940000000000001</v>
      </c>
    </row>
    <row r="718" spans="1:24" x14ac:dyDescent="0.25">
      <c r="A718" t="s">
        <v>738</v>
      </c>
      <c r="B718" s="4">
        <v>45674</v>
      </c>
      <c r="C718" s="4" t="str">
        <f t="shared" si="22"/>
        <v>Jan</v>
      </c>
      <c r="D718" t="s">
        <v>1522</v>
      </c>
      <c r="E718" t="s">
        <v>1525</v>
      </c>
      <c r="F718" t="s">
        <v>1531</v>
      </c>
      <c r="G718" t="s">
        <v>1538</v>
      </c>
      <c r="H718" t="s">
        <v>1550</v>
      </c>
      <c r="I718">
        <v>2025</v>
      </c>
      <c r="J718" t="s">
        <v>1554</v>
      </c>
      <c r="K718" t="s">
        <v>1556</v>
      </c>
      <c r="L718">
        <v>1191933</v>
      </c>
      <c r="M718">
        <v>1043919</v>
      </c>
      <c r="N718">
        <v>148014</v>
      </c>
      <c r="O718">
        <v>39</v>
      </c>
      <c r="P718" t="str">
        <f t="shared" si="23"/>
        <v>adult</v>
      </c>
      <c r="Q718" t="s">
        <v>1559</v>
      </c>
      <c r="R718" t="s">
        <v>1561</v>
      </c>
      <c r="S718" t="s">
        <v>1567</v>
      </c>
      <c r="T718">
        <v>592777</v>
      </c>
      <c r="U718">
        <v>1</v>
      </c>
      <c r="V718" t="s">
        <v>1571</v>
      </c>
      <c r="W718" t="s">
        <v>1591</v>
      </c>
      <c r="X718">
        <v>12.42</v>
      </c>
    </row>
    <row r="719" spans="1:24" x14ac:dyDescent="0.25">
      <c r="A719" t="s">
        <v>739</v>
      </c>
      <c r="B719" s="4">
        <v>46177</v>
      </c>
      <c r="C719" s="4" t="str">
        <f t="shared" si="22"/>
        <v>Jun</v>
      </c>
      <c r="D719" t="s">
        <v>1522</v>
      </c>
      <c r="E719" t="s">
        <v>1523</v>
      </c>
      <c r="F719" t="s">
        <v>1529</v>
      </c>
      <c r="G719" t="s">
        <v>1544</v>
      </c>
      <c r="H719" t="s">
        <v>1550</v>
      </c>
      <c r="I719">
        <v>2025</v>
      </c>
      <c r="J719" t="s">
        <v>1554</v>
      </c>
      <c r="K719" t="s">
        <v>1556</v>
      </c>
      <c r="L719">
        <v>1315955</v>
      </c>
      <c r="M719">
        <v>1182853</v>
      </c>
      <c r="N719">
        <v>133102</v>
      </c>
      <c r="O719">
        <v>54</v>
      </c>
      <c r="P719" t="str">
        <f t="shared" si="23"/>
        <v>senior</v>
      </c>
      <c r="Q719" t="s">
        <v>1558</v>
      </c>
      <c r="R719" t="s">
        <v>1563</v>
      </c>
      <c r="S719" t="s">
        <v>1568</v>
      </c>
      <c r="T719">
        <v>1219643</v>
      </c>
      <c r="U719">
        <v>2</v>
      </c>
      <c r="V719" t="s">
        <v>1582</v>
      </c>
      <c r="W719" t="s">
        <v>1592</v>
      </c>
      <c r="X719">
        <v>10.11</v>
      </c>
    </row>
    <row r="720" spans="1:24" x14ac:dyDescent="0.25">
      <c r="A720" t="s">
        <v>740</v>
      </c>
      <c r="B720" s="4">
        <v>46168</v>
      </c>
      <c r="C720" s="4" t="str">
        <f t="shared" si="22"/>
        <v>May</v>
      </c>
      <c r="D720" t="s">
        <v>1522</v>
      </c>
      <c r="E720" t="s">
        <v>1527</v>
      </c>
      <c r="F720" t="s">
        <v>1534</v>
      </c>
      <c r="G720" t="s">
        <v>1543</v>
      </c>
      <c r="H720" t="s">
        <v>1550</v>
      </c>
      <c r="I720">
        <v>2024</v>
      </c>
      <c r="J720" t="s">
        <v>1554</v>
      </c>
      <c r="K720" t="s">
        <v>1557</v>
      </c>
      <c r="L720">
        <v>1674192</v>
      </c>
      <c r="M720">
        <v>1434006</v>
      </c>
      <c r="N720">
        <v>240186</v>
      </c>
      <c r="O720">
        <v>60</v>
      </c>
      <c r="P720" t="str">
        <f t="shared" si="23"/>
        <v>senior</v>
      </c>
      <c r="Q720" t="s">
        <v>1558</v>
      </c>
      <c r="R720" t="s">
        <v>1566</v>
      </c>
      <c r="S720" t="s">
        <v>1568</v>
      </c>
      <c r="T720">
        <v>891426</v>
      </c>
      <c r="U720">
        <v>2</v>
      </c>
      <c r="V720" t="s">
        <v>1590</v>
      </c>
      <c r="W720" t="s">
        <v>1592</v>
      </c>
      <c r="X720">
        <v>14.35</v>
      </c>
    </row>
    <row r="721" spans="1:24" x14ac:dyDescent="0.25">
      <c r="A721" t="s">
        <v>741</v>
      </c>
      <c r="B721" s="4">
        <v>46186</v>
      </c>
      <c r="C721" s="4" t="str">
        <f t="shared" si="22"/>
        <v>Jun</v>
      </c>
      <c r="D721" t="s">
        <v>1522</v>
      </c>
      <c r="E721" t="s">
        <v>1527</v>
      </c>
      <c r="F721" t="s">
        <v>1536</v>
      </c>
      <c r="G721" t="s">
        <v>1544</v>
      </c>
      <c r="H721" t="s">
        <v>4</v>
      </c>
      <c r="I721">
        <v>2023</v>
      </c>
      <c r="J721" t="s">
        <v>1554</v>
      </c>
      <c r="K721" t="s">
        <v>1556</v>
      </c>
      <c r="L721">
        <v>1460140</v>
      </c>
      <c r="M721">
        <v>1230358</v>
      </c>
      <c r="N721">
        <v>229782</v>
      </c>
      <c r="O721">
        <v>57</v>
      </c>
      <c r="P721" t="str">
        <f t="shared" si="23"/>
        <v>senior</v>
      </c>
      <c r="Q721" t="s">
        <v>1558</v>
      </c>
      <c r="R721" t="s">
        <v>1563</v>
      </c>
      <c r="S721" t="s">
        <v>1569</v>
      </c>
      <c r="T721">
        <v>1476341</v>
      </c>
      <c r="U721">
        <v>2</v>
      </c>
      <c r="V721" t="s">
        <v>1582</v>
      </c>
      <c r="W721" t="s">
        <v>1592</v>
      </c>
      <c r="X721">
        <v>15.74</v>
      </c>
    </row>
    <row r="722" spans="1:24" x14ac:dyDescent="0.25">
      <c r="A722" t="s">
        <v>742</v>
      </c>
      <c r="B722" s="4">
        <v>46092</v>
      </c>
      <c r="C722" s="4" t="str">
        <f t="shared" si="22"/>
        <v>Mar</v>
      </c>
      <c r="D722" t="s">
        <v>1522</v>
      </c>
      <c r="E722" t="s">
        <v>1526</v>
      </c>
      <c r="F722" t="s">
        <v>1536</v>
      </c>
      <c r="G722" t="s">
        <v>1540</v>
      </c>
      <c r="H722" t="s">
        <v>1550</v>
      </c>
      <c r="I722">
        <v>2022</v>
      </c>
      <c r="J722" t="s">
        <v>1554</v>
      </c>
      <c r="K722" t="s">
        <v>1556</v>
      </c>
      <c r="L722">
        <v>1623225</v>
      </c>
      <c r="M722">
        <v>1345967</v>
      </c>
      <c r="N722">
        <v>277258</v>
      </c>
      <c r="O722">
        <v>61</v>
      </c>
      <c r="P722" t="str">
        <f t="shared" si="23"/>
        <v>senior</v>
      </c>
      <c r="Q722" t="s">
        <v>1558</v>
      </c>
      <c r="R722" t="s">
        <v>1566</v>
      </c>
      <c r="S722" t="s">
        <v>1568</v>
      </c>
      <c r="T722">
        <v>2037285</v>
      </c>
      <c r="U722">
        <v>5</v>
      </c>
      <c r="V722" t="s">
        <v>1586</v>
      </c>
      <c r="W722" t="s">
        <v>1591</v>
      </c>
      <c r="X722">
        <v>17.079999999999998</v>
      </c>
    </row>
    <row r="723" spans="1:24" x14ac:dyDescent="0.25">
      <c r="A723" t="s">
        <v>743</v>
      </c>
      <c r="B723" s="4">
        <v>45948</v>
      </c>
      <c r="C723" s="4" t="str">
        <f t="shared" si="22"/>
        <v>Oct</v>
      </c>
      <c r="D723" t="s">
        <v>1522</v>
      </c>
      <c r="E723" t="s">
        <v>1526</v>
      </c>
      <c r="F723" t="s">
        <v>1534</v>
      </c>
      <c r="G723" t="s">
        <v>1539</v>
      </c>
      <c r="H723" t="s">
        <v>1550</v>
      </c>
      <c r="I723">
        <v>2022</v>
      </c>
      <c r="J723" t="s">
        <v>1554</v>
      </c>
      <c r="K723" t="s">
        <v>1556</v>
      </c>
      <c r="L723">
        <v>1328622</v>
      </c>
      <c r="M723">
        <v>1119722</v>
      </c>
      <c r="N723">
        <v>208900</v>
      </c>
      <c r="O723">
        <v>55</v>
      </c>
      <c r="P723" t="str">
        <f t="shared" si="23"/>
        <v>senior</v>
      </c>
      <c r="Q723" t="s">
        <v>1558</v>
      </c>
      <c r="R723" t="s">
        <v>1561</v>
      </c>
      <c r="S723" t="s">
        <v>1570</v>
      </c>
      <c r="T723">
        <v>2083107</v>
      </c>
      <c r="U723">
        <v>2</v>
      </c>
      <c r="V723" t="s">
        <v>1574</v>
      </c>
      <c r="W723" t="s">
        <v>1593</v>
      </c>
      <c r="X723">
        <v>15.72</v>
      </c>
    </row>
    <row r="724" spans="1:24" x14ac:dyDescent="0.25">
      <c r="A724" t="s">
        <v>744</v>
      </c>
      <c r="B724" s="4">
        <v>46117</v>
      </c>
      <c r="C724" s="4" t="str">
        <f t="shared" si="22"/>
        <v>Apr</v>
      </c>
      <c r="D724" t="s">
        <v>1522</v>
      </c>
      <c r="E724" t="s">
        <v>1523</v>
      </c>
      <c r="F724" t="s">
        <v>1531</v>
      </c>
      <c r="G724" t="s">
        <v>1541</v>
      </c>
      <c r="H724" t="s">
        <v>1552</v>
      </c>
      <c r="I724">
        <v>2026</v>
      </c>
      <c r="J724" t="s">
        <v>1555</v>
      </c>
      <c r="K724" t="s">
        <v>1556</v>
      </c>
      <c r="L724">
        <v>1976154</v>
      </c>
      <c r="M724">
        <v>1683912</v>
      </c>
      <c r="N724">
        <v>292242</v>
      </c>
      <c r="O724">
        <v>44</v>
      </c>
      <c r="P724" t="str">
        <f t="shared" si="23"/>
        <v>adult</v>
      </c>
      <c r="Q724" t="s">
        <v>1559</v>
      </c>
      <c r="R724" t="s">
        <v>1564</v>
      </c>
      <c r="S724" t="s">
        <v>1569</v>
      </c>
      <c r="T724">
        <v>1278178</v>
      </c>
      <c r="U724">
        <v>3</v>
      </c>
      <c r="V724" t="s">
        <v>1580</v>
      </c>
      <c r="W724" t="s">
        <v>1592</v>
      </c>
      <c r="X724">
        <v>14.79</v>
      </c>
    </row>
    <row r="725" spans="1:24" x14ac:dyDescent="0.25">
      <c r="A725" t="s">
        <v>745</v>
      </c>
      <c r="B725" s="4">
        <v>45881</v>
      </c>
      <c r="C725" s="4" t="str">
        <f t="shared" si="22"/>
        <v>Aug</v>
      </c>
      <c r="D725" t="s">
        <v>1522</v>
      </c>
      <c r="E725" t="s">
        <v>1525</v>
      </c>
      <c r="F725" t="s">
        <v>1531</v>
      </c>
      <c r="G725" t="s">
        <v>1540</v>
      </c>
      <c r="H725" t="s">
        <v>1552</v>
      </c>
      <c r="I725">
        <v>2024</v>
      </c>
      <c r="J725" t="s">
        <v>1555</v>
      </c>
      <c r="K725" t="s">
        <v>1556</v>
      </c>
      <c r="L725">
        <v>1938498</v>
      </c>
      <c r="M725">
        <v>1743177</v>
      </c>
      <c r="N725">
        <v>195321</v>
      </c>
      <c r="O725">
        <v>46</v>
      </c>
      <c r="P725" t="str">
        <f t="shared" si="23"/>
        <v>adult</v>
      </c>
      <c r="Q725" t="s">
        <v>1558</v>
      </c>
      <c r="R725" t="s">
        <v>1561</v>
      </c>
      <c r="S725" t="s">
        <v>1570</v>
      </c>
      <c r="T725">
        <v>560752</v>
      </c>
      <c r="U725">
        <v>1</v>
      </c>
      <c r="V725" t="s">
        <v>1585</v>
      </c>
      <c r="W725" t="s">
        <v>1594</v>
      </c>
      <c r="X725">
        <v>10.08</v>
      </c>
    </row>
    <row r="726" spans="1:24" x14ac:dyDescent="0.25">
      <c r="A726" t="s">
        <v>746</v>
      </c>
      <c r="B726" s="4">
        <v>45771</v>
      </c>
      <c r="C726" s="4" t="str">
        <f t="shared" si="22"/>
        <v>Apr</v>
      </c>
      <c r="D726" t="s">
        <v>1522</v>
      </c>
      <c r="E726" t="s">
        <v>1525</v>
      </c>
      <c r="F726" t="s">
        <v>1531</v>
      </c>
      <c r="G726" t="s">
        <v>1538</v>
      </c>
      <c r="H726" t="s">
        <v>1550</v>
      </c>
      <c r="I726">
        <v>2023</v>
      </c>
      <c r="J726" t="s">
        <v>1554</v>
      </c>
      <c r="K726" t="s">
        <v>1556</v>
      </c>
      <c r="L726">
        <v>1284119</v>
      </c>
      <c r="M726">
        <v>1223666</v>
      </c>
      <c r="N726">
        <v>60453</v>
      </c>
      <c r="O726">
        <v>48</v>
      </c>
      <c r="P726" t="str">
        <f t="shared" si="23"/>
        <v>adult</v>
      </c>
      <c r="Q726" t="s">
        <v>1558</v>
      </c>
      <c r="R726" t="s">
        <v>1564</v>
      </c>
      <c r="S726" t="s">
        <v>1570</v>
      </c>
      <c r="T726">
        <v>1807482</v>
      </c>
      <c r="U726">
        <v>4</v>
      </c>
      <c r="V726" t="s">
        <v>1573</v>
      </c>
      <c r="W726" t="s">
        <v>1592</v>
      </c>
      <c r="X726">
        <v>4.71</v>
      </c>
    </row>
    <row r="727" spans="1:24" x14ac:dyDescent="0.25">
      <c r="A727" t="s">
        <v>747</v>
      </c>
      <c r="B727" s="4">
        <v>46225</v>
      </c>
      <c r="C727" s="4" t="str">
        <f t="shared" si="22"/>
        <v>Jul</v>
      </c>
      <c r="D727" t="s">
        <v>1522</v>
      </c>
      <c r="E727" t="s">
        <v>1527</v>
      </c>
      <c r="F727" t="s">
        <v>1529</v>
      </c>
      <c r="G727" t="s">
        <v>1548</v>
      </c>
      <c r="H727" t="s">
        <v>1550</v>
      </c>
      <c r="I727">
        <v>2026</v>
      </c>
      <c r="J727" t="s">
        <v>1554</v>
      </c>
      <c r="K727" t="s">
        <v>1556</v>
      </c>
      <c r="L727">
        <v>1297086</v>
      </c>
      <c r="M727">
        <v>1102284</v>
      </c>
      <c r="N727">
        <v>194802</v>
      </c>
      <c r="O727">
        <v>63</v>
      </c>
      <c r="P727" t="str">
        <f t="shared" si="23"/>
        <v>senior</v>
      </c>
      <c r="Q727" t="s">
        <v>1559</v>
      </c>
      <c r="R727" t="s">
        <v>1564</v>
      </c>
      <c r="S727" t="s">
        <v>1567</v>
      </c>
      <c r="T727">
        <v>123705</v>
      </c>
      <c r="U727">
        <v>2</v>
      </c>
      <c r="V727" t="s">
        <v>1587</v>
      </c>
      <c r="W727" t="s">
        <v>1594</v>
      </c>
      <c r="X727">
        <v>15.02</v>
      </c>
    </row>
    <row r="728" spans="1:24" x14ac:dyDescent="0.25">
      <c r="A728" t="s">
        <v>748</v>
      </c>
      <c r="B728" s="4">
        <v>46128</v>
      </c>
      <c r="C728" s="4" t="str">
        <f t="shared" si="22"/>
        <v>Apr</v>
      </c>
      <c r="D728" t="s">
        <v>1522</v>
      </c>
      <c r="E728" t="s">
        <v>1526</v>
      </c>
      <c r="F728" t="s">
        <v>1532</v>
      </c>
      <c r="G728" t="s">
        <v>1542</v>
      </c>
      <c r="H728" t="s">
        <v>1552</v>
      </c>
      <c r="I728">
        <v>2026</v>
      </c>
      <c r="J728" t="s">
        <v>1555</v>
      </c>
      <c r="K728" t="s">
        <v>1556</v>
      </c>
      <c r="L728">
        <v>1925111</v>
      </c>
      <c r="M728">
        <v>1605377</v>
      </c>
      <c r="N728">
        <v>319734</v>
      </c>
      <c r="O728">
        <v>59</v>
      </c>
      <c r="P728" t="str">
        <f t="shared" si="23"/>
        <v>senior</v>
      </c>
      <c r="Q728" t="s">
        <v>1558</v>
      </c>
      <c r="R728" t="s">
        <v>1564</v>
      </c>
      <c r="S728" t="s">
        <v>1567</v>
      </c>
      <c r="T728">
        <v>490249</v>
      </c>
      <c r="U728">
        <v>2</v>
      </c>
      <c r="V728" t="s">
        <v>1580</v>
      </c>
      <c r="W728" t="s">
        <v>1592</v>
      </c>
      <c r="X728">
        <v>16.61</v>
      </c>
    </row>
    <row r="729" spans="1:24" x14ac:dyDescent="0.25">
      <c r="A729" t="s">
        <v>749</v>
      </c>
      <c r="B729" s="4">
        <v>45767</v>
      </c>
      <c r="C729" s="4" t="str">
        <f t="shared" si="22"/>
        <v>Apr</v>
      </c>
      <c r="D729" t="s">
        <v>1522</v>
      </c>
      <c r="E729" t="s">
        <v>1523</v>
      </c>
      <c r="F729" t="s">
        <v>1536</v>
      </c>
      <c r="G729" t="s">
        <v>1545</v>
      </c>
      <c r="H729" t="s">
        <v>1550</v>
      </c>
      <c r="I729">
        <v>2024</v>
      </c>
      <c r="J729" t="s">
        <v>1554</v>
      </c>
      <c r="K729" t="s">
        <v>1556</v>
      </c>
      <c r="L729">
        <v>1161917</v>
      </c>
      <c r="M729">
        <v>950025</v>
      </c>
      <c r="N729">
        <v>211892</v>
      </c>
      <c r="O729">
        <v>33</v>
      </c>
      <c r="P729" t="str">
        <f t="shared" si="23"/>
        <v>adult</v>
      </c>
      <c r="Q729" t="s">
        <v>1558</v>
      </c>
      <c r="R729" t="s">
        <v>1561</v>
      </c>
      <c r="S729" t="s">
        <v>1567</v>
      </c>
      <c r="T729">
        <v>1216662</v>
      </c>
      <c r="U729">
        <v>5</v>
      </c>
      <c r="V729" t="s">
        <v>1573</v>
      </c>
      <c r="W729" t="s">
        <v>1592</v>
      </c>
      <c r="X729">
        <v>18.239999999999998</v>
      </c>
    </row>
    <row r="730" spans="1:24" x14ac:dyDescent="0.25">
      <c r="A730" t="s">
        <v>750</v>
      </c>
      <c r="B730" s="4">
        <v>45922</v>
      </c>
      <c r="C730" s="4" t="str">
        <f t="shared" si="22"/>
        <v>Sep</v>
      </c>
      <c r="D730" t="s">
        <v>1522</v>
      </c>
      <c r="E730" t="s">
        <v>1527</v>
      </c>
      <c r="F730" t="s">
        <v>1530</v>
      </c>
      <c r="G730" t="s">
        <v>1548</v>
      </c>
      <c r="H730" t="s">
        <v>1551</v>
      </c>
      <c r="I730">
        <v>2024</v>
      </c>
      <c r="J730" t="s">
        <v>1554</v>
      </c>
      <c r="K730" t="s">
        <v>1557</v>
      </c>
      <c r="L730">
        <v>971385</v>
      </c>
      <c r="M730">
        <v>848399</v>
      </c>
      <c r="N730">
        <v>122986</v>
      </c>
      <c r="O730">
        <v>59</v>
      </c>
      <c r="P730" t="str">
        <f t="shared" si="23"/>
        <v>senior</v>
      </c>
      <c r="Q730" t="s">
        <v>1559</v>
      </c>
      <c r="R730" t="s">
        <v>1561</v>
      </c>
      <c r="S730" t="s">
        <v>1567</v>
      </c>
      <c r="T730">
        <v>1837977</v>
      </c>
      <c r="U730">
        <v>5</v>
      </c>
      <c r="V730" t="s">
        <v>1577</v>
      </c>
      <c r="W730" t="s">
        <v>1594</v>
      </c>
      <c r="X730">
        <v>12.66</v>
      </c>
    </row>
    <row r="731" spans="1:24" x14ac:dyDescent="0.25">
      <c r="A731" t="s">
        <v>751</v>
      </c>
      <c r="B731" s="4">
        <v>45797</v>
      </c>
      <c r="C731" s="4" t="str">
        <f t="shared" si="22"/>
        <v>May</v>
      </c>
      <c r="D731" t="s">
        <v>1522</v>
      </c>
      <c r="E731" t="s">
        <v>1523</v>
      </c>
      <c r="F731" t="s">
        <v>1533</v>
      </c>
      <c r="G731" t="s">
        <v>1543</v>
      </c>
      <c r="H731" t="s">
        <v>1551</v>
      </c>
      <c r="I731">
        <v>2023</v>
      </c>
      <c r="J731" t="s">
        <v>1554</v>
      </c>
      <c r="K731" t="s">
        <v>1557</v>
      </c>
      <c r="L731">
        <v>948955</v>
      </c>
      <c r="M731">
        <v>891462</v>
      </c>
      <c r="N731">
        <v>57493</v>
      </c>
      <c r="O731">
        <v>45</v>
      </c>
      <c r="P731" t="str">
        <f t="shared" si="23"/>
        <v>adult</v>
      </c>
      <c r="Q731" t="s">
        <v>1559</v>
      </c>
      <c r="R731" t="s">
        <v>1564</v>
      </c>
      <c r="S731" t="s">
        <v>1568</v>
      </c>
      <c r="T731">
        <v>1370345</v>
      </c>
      <c r="U731">
        <v>4</v>
      </c>
      <c r="V731" t="s">
        <v>1572</v>
      </c>
      <c r="W731" t="s">
        <v>1592</v>
      </c>
      <c r="X731">
        <v>6.06</v>
      </c>
    </row>
    <row r="732" spans="1:24" x14ac:dyDescent="0.25">
      <c r="A732" t="s">
        <v>752</v>
      </c>
      <c r="B732" s="4">
        <v>46036</v>
      </c>
      <c r="C732" s="4" t="str">
        <f t="shared" si="22"/>
        <v>Jan</v>
      </c>
      <c r="D732" t="s">
        <v>1522</v>
      </c>
      <c r="E732" t="s">
        <v>1524</v>
      </c>
      <c r="F732" t="s">
        <v>1531</v>
      </c>
      <c r="G732" t="s">
        <v>1548</v>
      </c>
      <c r="H732" t="s">
        <v>1551</v>
      </c>
      <c r="I732">
        <v>2025</v>
      </c>
      <c r="J732" t="s">
        <v>1554</v>
      </c>
      <c r="K732" t="s">
        <v>1556</v>
      </c>
      <c r="L732">
        <v>732476</v>
      </c>
      <c r="M732">
        <v>652832</v>
      </c>
      <c r="N732">
        <v>79644</v>
      </c>
      <c r="O732">
        <v>24</v>
      </c>
      <c r="P732" t="str">
        <f t="shared" si="23"/>
        <v>young</v>
      </c>
      <c r="Q732" t="s">
        <v>1558</v>
      </c>
      <c r="R732" t="s">
        <v>1563</v>
      </c>
      <c r="S732" t="s">
        <v>1567</v>
      </c>
      <c r="T732">
        <v>1165719</v>
      </c>
      <c r="U732">
        <v>3</v>
      </c>
      <c r="V732" t="s">
        <v>1581</v>
      </c>
      <c r="W732" t="s">
        <v>1591</v>
      </c>
      <c r="X732">
        <v>10.87</v>
      </c>
    </row>
    <row r="733" spans="1:24" x14ac:dyDescent="0.25">
      <c r="A733" t="s">
        <v>753</v>
      </c>
      <c r="B733" s="4">
        <v>46171</v>
      </c>
      <c r="C733" s="4" t="str">
        <f t="shared" si="22"/>
        <v>May</v>
      </c>
      <c r="D733" t="s">
        <v>1522</v>
      </c>
      <c r="E733" t="s">
        <v>1526</v>
      </c>
      <c r="F733" t="s">
        <v>1531</v>
      </c>
      <c r="G733" t="s">
        <v>1544</v>
      </c>
      <c r="H733" t="s">
        <v>1550</v>
      </c>
      <c r="I733">
        <v>2023</v>
      </c>
      <c r="J733" t="s">
        <v>1554</v>
      </c>
      <c r="K733" t="s">
        <v>1556</v>
      </c>
      <c r="L733">
        <v>1632272</v>
      </c>
      <c r="M733">
        <v>1507777</v>
      </c>
      <c r="N733">
        <v>124495</v>
      </c>
      <c r="O733">
        <v>21</v>
      </c>
      <c r="P733" t="str">
        <f t="shared" si="23"/>
        <v>young</v>
      </c>
      <c r="Q733" t="s">
        <v>1559</v>
      </c>
      <c r="R733" t="s">
        <v>1563</v>
      </c>
      <c r="S733" t="s">
        <v>1570</v>
      </c>
      <c r="T733">
        <v>957489</v>
      </c>
      <c r="U733">
        <v>5</v>
      </c>
      <c r="V733" t="s">
        <v>1590</v>
      </c>
      <c r="W733" t="s">
        <v>1592</v>
      </c>
      <c r="X733">
        <v>7.63</v>
      </c>
    </row>
    <row r="734" spans="1:24" x14ac:dyDescent="0.25">
      <c r="A734" t="s">
        <v>754</v>
      </c>
      <c r="B734" s="4">
        <v>45914</v>
      </c>
      <c r="C734" s="4" t="str">
        <f t="shared" si="22"/>
        <v>Sep</v>
      </c>
      <c r="D734" t="s">
        <v>1522</v>
      </c>
      <c r="E734" t="s">
        <v>1526</v>
      </c>
      <c r="F734" t="s">
        <v>1528</v>
      </c>
      <c r="G734" t="s">
        <v>1547</v>
      </c>
      <c r="H734" t="s">
        <v>1551</v>
      </c>
      <c r="I734">
        <v>2024</v>
      </c>
      <c r="J734" t="s">
        <v>1554</v>
      </c>
      <c r="K734" t="s">
        <v>1556</v>
      </c>
      <c r="L734">
        <v>756827</v>
      </c>
      <c r="M734">
        <v>704409</v>
      </c>
      <c r="N734">
        <v>52418</v>
      </c>
      <c r="O734">
        <v>43</v>
      </c>
      <c r="P734" t="str">
        <f t="shared" si="23"/>
        <v>adult</v>
      </c>
      <c r="Q734" t="s">
        <v>1558</v>
      </c>
      <c r="R734" t="s">
        <v>1566</v>
      </c>
      <c r="S734" t="s">
        <v>1567</v>
      </c>
      <c r="T734">
        <v>119469</v>
      </c>
      <c r="U734">
        <v>5</v>
      </c>
      <c r="V734" t="s">
        <v>1577</v>
      </c>
      <c r="W734" t="s">
        <v>1594</v>
      </c>
      <c r="X734">
        <v>6.93</v>
      </c>
    </row>
    <row r="735" spans="1:24" x14ac:dyDescent="0.25">
      <c r="A735" t="s">
        <v>755</v>
      </c>
      <c r="B735" s="4">
        <v>46008</v>
      </c>
      <c r="C735" s="4" t="str">
        <f t="shared" si="22"/>
        <v>Dec</v>
      </c>
      <c r="D735" t="s">
        <v>1522</v>
      </c>
      <c r="E735" t="s">
        <v>1523</v>
      </c>
      <c r="F735" t="s">
        <v>1537</v>
      </c>
      <c r="G735" t="s">
        <v>1540</v>
      </c>
      <c r="H735" t="s">
        <v>4</v>
      </c>
      <c r="I735">
        <v>2026</v>
      </c>
      <c r="J735" t="s">
        <v>1554</v>
      </c>
      <c r="K735" t="s">
        <v>1557</v>
      </c>
      <c r="L735">
        <v>1718926</v>
      </c>
      <c r="M735">
        <v>1398647</v>
      </c>
      <c r="N735">
        <v>320279</v>
      </c>
      <c r="O735">
        <v>35</v>
      </c>
      <c r="P735" t="str">
        <f t="shared" si="23"/>
        <v>adult</v>
      </c>
      <c r="Q735" t="s">
        <v>1558</v>
      </c>
      <c r="R735" t="s">
        <v>1563</v>
      </c>
      <c r="S735" t="s">
        <v>1568</v>
      </c>
      <c r="T735">
        <v>570293</v>
      </c>
      <c r="U735">
        <v>5</v>
      </c>
      <c r="V735" t="s">
        <v>1575</v>
      </c>
      <c r="W735" t="s">
        <v>1593</v>
      </c>
      <c r="X735">
        <v>18.63</v>
      </c>
    </row>
    <row r="736" spans="1:24" x14ac:dyDescent="0.25">
      <c r="A736" t="s">
        <v>756</v>
      </c>
      <c r="B736" s="4">
        <v>45673</v>
      </c>
      <c r="C736" s="4" t="str">
        <f t="shared" si="22"/>
        <v>Jan</v>
      </c>
      <c r="D736" t="s">
        <v>1522</v>
      </c>
      <c r="E736" t="s">
        <v>1527</v>
      </c>
      <c r="F736" t="s">
        <v>1531</v>
      </c>
      <c r="G736" t="s">
        <v>1540</v>
      </c>
      <c r="H736" t="s">
        <v>4</v>
      </c>
      <c r="I736">
        <v>2022</v>
      </c>
      <c r="J736" t="s">
        <v>1554</v>
      </c>
      <c r="K736" t="s">
        <v>1556</v>
      </c>
      <c r="L736">
        <v>1511952</v>
      </c>
      <c r="M736">
        <v>1271398</v>
      </c>
      <c r="N736">
        <v>240554</v>
      </c>
      <c r="O736">
        <v>65</v>
      </c>
      <c r="P736" t="str">
        <f t="shared" si="23"/>
        <v>senior</v>
      </c>
      <c r="Q736" t="s">
        <v>1558</v>
      </c>
      <c r="R736" t="s">
        <v>1564</v>
      </c>
      <c r="S736" t="s">
        <v>1570</v>
      </c>
      <c r="T736">
        <v>1370623</v>
      </c>
      <c r="U736">
        <v>3</v>
      </c>
      <c r="V736" t="s">
        <v>1571</v>
      </c>
      <c r="W736" t="s">
        <v>1591</v>
      </c>
      <c r="X736">
        <v>15.91</v>
      </c>
    </row>
    <row r="737" spans="1:24" x14ac:dyDescent="0.25">
      <c r="A737" t="s">
        <v>757</v>
      </c>
      <c r="B737" s="4">
        <v>45781</v>
      </c>
      <c r="C737" s="4" t="str">
        <f t="shared" si="22"/>
        <v>May</v>
      </c>
      <c r="D737" t="s">
        <v>1522</v>
      </c>
      <c r="E737" t="s">
        <v>1524</v>
      </c>
      <c r="F737" t="s">
        <v>1537</v>
      </c>
      <c r="G737" t="s">
        <v>1539</v>
      </c>
      <c r="H737" t="s">
        <v>1551</v>
      </c>
      <c r="I737">
        <v>2023</v>
      </c>
      <c r="J737" t="s">
        <v>1554</v>
      </c>
      <c r="K737" t="s">
        <v>1556</v>
      </c>
      <c r="L737">
        <v>1036594</v>
      </c>
      <c r="M737">
        <v>877629</v>
      </c>
      <c r="N737">
        <v>158965</v>
      </c>
      <c r="O737">
        <v>58</v>
      </c>
      <c r="P737" t="str">
        <f t="shared" si="23"/>
        <v>senior</v>
      </c>
      <c r="Q737" t="s">
        <v>1559</v>
      </c>
      <c r="R737" t="s">
        <v>1564</v>
      </c>
      <c r="S737" t="s">
        <v>1570</v>
      </c>
      <c r="T737">
        <v>215963</v>
      </c>
      <c r="U737">
        <v>4</v>
      </c>
      <c r="V737" t="s">
        <v>1572</v>
      </c>
      <c r="W737" t="s">
        <v>1592</v>
      </c>
      <c r="X737">
        <v>15.34</v>
      </c>
    </row>
    <row r="738" spans="1:24" x14ac:dyDescent="0.25">
      <c r="A738" t="s">
        <v>758</v>
      </c>
      <c r="B738" s="4">
        <v>45708</v>
      </c>
      <c r="C738" s="4" t="str">
        <f t="shared" si="22"/>
        <v>Feb</v>
      </c>
      <c r="D738" t="s">
        <v>1522</v>
      </c>
      <c r="E738" t="s">
        <v>1524</v>
      </c>
      <c r="F738" t="s">
        <v>1537</v>
      </c>
      <c r="G738" t="s">
        <v>1549</v>
      </c>
      <c r="H738" t="s">
        <v>4</v>
      </c>
      <c r="I738">
        <v>2022</v>
      </c>
      <c r="J738" t="s">
        <v>1554</v>
      </c>
      <c r="K738" t="s">
        <v>1557</v>
      </c>
      <c r="L738">
        <v>1707146</v>
      </c>
      <c r="M738">
        <v>1523348</v>
      </c>
      <c r="N738">
        <v>183798</v>
      </c>
      <c r="O738">
        <v>58</v>
      </c>
      <c r="P738" t="str">
        <f t="shared" si="23"/>
        <v>senior</v>
      </c>
      <c r="Q738" t="s">
        <v>1558</v>
      </c>
      <c r="R738" t="s">
        <v>1562</v>
      </c>
      <c r="S738" t="s">
        <v>1567</v>
      </c>
      <c r="T738">
        <v>567966</v>
      </c>
      <c r="U738">
        <v>3</v>
      </c>
      <c r="V738" t="s">
        <v>1578</v>
      </c>
      <c r="W738" t="s">
        <v>1591</v>
      </c>
      <c r="X738">
        <v>10.77</v>
      </c>
    </row>
    <row r="739" spans="1:24" x14ac:dyDescent="0.25">
      <c r="A739" t="s">
        <v>759</v>
      </c>
      <c r="B739" s="4">
        <v>45980</v>
      </c>
      <c r="C739" s="4" t="str">
        <f t="shared" si="22"/>
        <v>Nov</v>
      </c>
      <c r="D739" t="s">
        <v>1522</v>
      </c>
      <c r="E739" t="s">
        <v>1525</v>
      </c>
      <c r="F739" t="s">
        <v>1534</v>
      </c>
      <c r="G739" t="s">
        <v>1548</v>
      </c>
      <c r="H739" t="s">
        <v>1550</v>
      </c>
      <c r="I739">
        <v>2022</v>
      </c>
      <c r="J739" t="s">
        <v>1554</v>
      </c>
      <c r="K739" t="s">
        <v>1556</v>
      </c>
      <c r="L739">
        <v>1211522</v>
      </c>
      <c r="M739">
        <v>1082781</v>
      </c>
      <c r="N739">
        <v>128741</v>
      </c>
      <c r="O739">
        <v>59</v>
      </c>
      <c r="P739" t="str">
        <f t="shared" si="23"/>
        <v>senior</v>
      </c>
      <c r="Q739" t="s">
        <v>1559</v>
      </c>
      <c r="R739" t="s">
        <v>1564</v>
      </c>
      <c r="S739" t="s">
        <v>1569</v>
      </c>
      <c r="T739">
        <v>767622</v>
      </c>
      <c r="U739">
        <v>4</v>
      </c>
      <c r="V739" t="s">
        <v>1583</v>
      </c>
      <c r="W739" t="s">
        <v>1593</v>
      </c>
      <c r="X739">
        <v>10.63</v>
      </c>
    </row>
    <row r="740" spans="1:24" x14ac:dyDescent="0.25">
      <c r="A740" t="s">
        <v>760</v>
      </c>
      <c r="B740" s="4">
        <v>46119</v>
      </c>
      <c r="C740" s="4" t="str">
        <f t="shared" si="22"/>
        <v>Apr</v>
      </c>
      <c r="D740" t="s">
        <v>1522</v>
      </c>
      <c r="E740" t="s">
        <v>1523</v>
      </c>
      <c r="F740" t="s">
        <v>1530</v>
      </c>
      <c r="G740" t="s">
        <v>1543</v>
      </c>
      <c r="H740" t="s">
        <v>1552</v>
      </c>
      <c r="I740">
        <v>2023</v>
      </c>
      <c r="J740" t="s">
        <v>1555</v>
      </c>
      <c r="K740" t="s">
        <v>1556</v>
      </c>
      <c r="L740">
        <v>2041440</v>
      </c>
      <c r="M740">
        <v>1901213</v>
      </c>
      <c r="N740">
        <v>140227</v>
      </c>
      <c r="O740">
        <v>52</v>
      </c>
      <c r="P740" t="str">
        <f t="shared" si="23"/>
        <v>senior</v>
      </c>
      <c r="Q740" t="s">
        <v>1558</v>
      </c>
      <c r="R740" t="s">
        <v>1565</v>
      </c>
      <c r="S740" t="s">
        <v>1568</v>
      </c>
      <c r="T740">
        <v>585049</v>
      </c>
      <c r="U740">
        <v>1</v>
      </c>
      <c r="V740" t="s">
        <v>1580</v>
      </c>
      <c r="W740" t="s">
        <v>1592</v>
      </c>
      <c r="X740">
        <v>6.87</v>
      </c>
    </row>
    <row r="741" spans="1:24" x14ac:dyDescent="0.25">
      <c r="A741" t="s">
        <v>761</v>
      </c>
      <c r="B741" s="4">
        <v>45708</v>
      </c>
      <c r="C741" s="4" t="str">
        <f t="shared" si="22"/>
        <v>Feb</v>
      </c>
      <c r="D741" t="s">
        <v>1522</v>
      </c>
      <c r="E741" t="s">
        <v>1525</v>
      </c>
      <c r="F741" t="s">
        <v>1533</v>
      </c>
      <c r="G741" t="s">
        <v>1547</v>
      </c>
      <c r="H741" t="s">
        <v>4</v>
      </c>
      <c r="I741">
        <v>2026</v>
      </c>
      <c r="J741" t="s">
        <v>1554</v>
      </c>
      <c r="K741" t="s">
        <v>1556</v>
      </c>
      <c r="L741">
        <v>1413607</v>
      </c>
      <c r="M741">
        <v>1262714</v>
      </c>
      <c r="N741">
        <v>150893</v>
      </c>
      <c r="O741">
        <v>37</v>
      </c>
      <c r="P741" t="str">
        <f t="shared" si="23"/>
        <v>adult</v>
      </c>
      <c r="Q741" t="s">
        <v>1559</v>
      </c>
      <c r="R741" t="s">
        <v>1563</v>
      </c>
      <c r="S741" t="s">
        <v>1568</v>
      </c>
      <c r="T741">
        <v>1801599</v>
      </c>
      <c r="U741">
        <v>2</v>
      </c>
      <c r="V741" t="s">
        <v>1578</v>
      </c>
      <c r="W741" t="s">
        <v>1591</v>
      </c>
      <c r="X741">
        <v>10.67</v>
      </c>
    </row>
    <row r="742" spans="1:24" x14ac:dyDescent="0.25">
      <c r="A742" t="s">
        <v>762</v>
      </c>
      <c r="B742" s="4">
        <v>45755</v>
      </c>
      <c r="C742" s="4" t="str">
        <f t="shared" si="22"/>
        <v>Apr</v>
      </c>
      <c r="D742" t="s">
        <v>1522</v>
      </c>
      <c r="E742" t="s">
        <v>1527</v>
      </c>
      <c r="F742" t="s">
        <v>1535</v>
      </c>
      <c r="G742" t="s">
        <v>1544</v>
      </c>
      <c r="H742" t="s">
        <v>1550</v>
      </c>
      <c r="I742">
        <v>2026</v>
      </c>
      <c r="J742" t="s">
        <v>1554</v>
      </c>
      <c r="K742" t="s">
        <v>1556</v>
      </c>
      <c r="L742">
        <v>1252464</v>
      </c>
      <c r="M742">
        <v>1042473</v>
      </c>
      <c r="N742">
        <v>209991</v>
      </c>
      <c r="O742">
        <v>32</v>
      </c>
      <c r="P742" t="str">
        <f t="shared" si="23"/>
        <v>adult</v>
      </c>
      <c r="Q742" t="s">
        <v>1558</v>
      </c>
      <c r="R742" t="s">
        <v>1563</v>
      </c>
      <c r="S742" t="s">
        <v>1568</v>
      </c>
      <c r="T742">
        <v>1062209</v>
      </c>
      <c r="U742">
        <v>3</v>
      </c>
      <c r="V742" t="s">
        <v>1573</v>
      </c>
      <c r="W742" t="s">
        <v>1592</v>
      </c>
      <c r="X742">
        <v>16.77</v>
      </c>
    </row>
    <row r="743" spans="1:24" x14ac:dyDescent="0.25">
      <c r="A743" t="s">
        <v>763</v>
      </c>
      <c r="B743" s="4">
        <v>45841</v>
      </c>
      <c r="C743" s="4" t="str">
        <f t="shared" si="22"/>
        <v>Jul</v>
      </c>
      <c r="D743" t="s">
        <v>1522</v>
      </c>
      <c r="E743" t="s">
        <v>1527</v>
      </c>
      <c r="F743" t="s">
        <v>1532</v>
      </c>
      <c r="G743" t="s">
        <v>1544</v>
      </c>
      <c r="H743" t="s">
        <v>4</v>
      </c>
      <c r="I743">
        <v>2026</v>
      </c>
      <c r="J743" t="s">
        <v>1554</v>
      </c>
      <c r="K743" t="s">
        <v>1556</v>
      </c>
      <c r="L743">
        <v>1321664</v>
      </c>
      <c r="M743">
        <v>1094505</v>
      </c>
      <c r="N743">
        <v>227159</v>
      </c>
      <c r="O743">
        <v>27</v>
      </c>
      <c r="P743" t="str">
        <f t="shared" si="23"/>
        <v>young</v>
      </c>
      <c r="Q743" t="s">
        <v>1559</v>
      </c>
      <c r="R743" t="s">
        <v>1563</v>
      </c>
      <c r="S743" t="s">
        <v>1567</v>
      </c>
      <c r="T743">
        <v>416301</v>
      </c>
      <c r="U743">
        <v>3</v>
      </c>
      <c r="V743" t="s">
        <v>1579</v>
      </c>
      <c r="W743" t="s">
        <v>1594</v>
      </c>
      <c r="X743">
        <v>17.190000000000001</v>
      </c>
    </row>
    <row r="744" spans="1:24" x14ac:dyDescent="0.25">
      <c r="A744" t="s">
        <v>764</v>
      </c>
      <c r="B744" s="4">
        <v>45995</v>
      </c>
      <c r="C744" s="4" t="str">
        <f t="shared" si="22"/>
        <v>Dec</v>
      </c>
      <c r="D744" t="s">
        <v>1522</v>
      </c>
      <c r="E744" t="s">
        <v>1527</v>
      </c>
      <c r="F744" t="s">
        <v>1531</v>
      </c>
      <c r="G744" t="s">
        <v>1540</v>
      </c>
      <c r="H744" t="s">
        <v>1550</v>
      </c>
      <c r="I744">
        <v>2024</v>
      </c>
      <c r="J744" t="s">
        <v>1554</v>
      </c>
      <c r="K744" t="s">
        <v>1556</v>
      </c>
      <c r="L744">
        <v>1379401</v>
      </c>
      <c r="M744">
        <v>1167650</v>
      </c>
      <c r="N744">
        <v>211751</v>
      </c>
      <c r="O744">
        <v>57</v>
      </c>
      <c r="P744" t="str">
        <f t="shared" si="23"/>
        <v>senior</v>
      </c>
      <c r="Q744" t="s">
        <v>1559</v>
      </c>
      <c r="R744" t="s">
        <v>1565</v>
      </c>
      <c r="S744" t="s">
        <v>1567</v>
      </c>
      <c r="T744">
        <v>119500</v>
      </c>
      <c r="U744">
        <v>3</v>
      </c>
      <c r="V744" t="s">
        <v>1575</v>
      </c>
      <c r="W744" t="s">
        <v>1593</v>
      </c>
      <c r="X744">
        <v>15.35</v>
      </c>
    </row>
    <row r="745" spans="1:24" x14ac:dyDescent="0.25">
      <c r="A745" t="s">
        <v>765</v>
      </c>
      <c r="B745" s="4">
        <v>45765</v>
      </c>
      <c r="C745" s="4" t="str">
        <f t="shared" si="22"/>
        <v>Apr</v>
      </c>
      <c r="D745" t="s">
        <v>1522</v>
      </c>
      <c r="E745" t="s">
        <v>1526</v>
      </c>
      <c r="F745" t="s">
        <v>1535</v>
      </c>
      <c r="G745" t="s">
        <v>1544</v>
      </c>
      <c r="H745" t="s">
        <v>4</v>
      </c>
      <c r="I745">
        <v>2026</v>
      </c>
      <c r="J745" t="s">
        <v>1554</v>
      </c>
      <c r="K745" t="s">
        <v>1556</v>
      </c>
      <c r="L745">
        <v>1706933</v>
      </c>
      <c r="M745">
        <v>1450776</v>
      </c>
      <c r="N745">
        <v>256157</v>
      </c>
      <c r="O745">
        <v>52</v>
      </c>
      <c r="P745" t="str">
        <f t="shared" si="23"/>
        <v>senior</v>
      </c>
      <c r="Q745" t="s">
        <v>1558</v>
      </c>
      <c r="R745" t="s">
        <v>1564</v>
      </c>
      <c r="S745" t="s">
        <v>1567</v>
      </c>
      <c r="T745">
        <v>645999</v>
      </c>
      <c r="U745">
        <v>2</v>
      </c>
      <c r="V745" t="s">
        <v>1573</v>
      </c>
      <c r="W745" t="s">
        <v>1592</v>
      </c>
      <c r="X745">
        <v>15.01</v>
      </c>
    </row>
    <row r="746" spans="1:24" x14ac:dyDescent="0.25">
      <c r="A746" t="s">
        <v>766</v>
      </c>
      <c r="B746" s="4">
        <v>45879</v>
      </c>
      <c r="C746" s="4" t="str">
        <f t="shared" si="22"/>
        <v>Aug</v>
      </c>
      <c r="D746" t="s">
        <v>1522</v>
      </c>
      <c r="E746" t="s">
        <v>1524</v>
      </c>
      <c r="F746" t="s">
        <v>1532</v>
      </c>
      <c r="G746" t="s">
        <v>1541</v>
      </c>
      <c r="H746" t="s">
        <v>1551</v>
      </c>
      <c r="I746">
        <v>2026</v>
      </c>
      <c r="J746" t="s">
        <v>1554</v>
      </c>
      <c r="K746" t="s">
        <v>1557</v>
      </c>
      <c r="L746">
        <v>841213</v>
      </c>
      <c r="M746">
        <v>757173</v>
      </c>
      <c r="N746">
        <v>84040</v>
      </c>
      <c r="O746">
        <v>43</v>
      </c>
      <c r="P746" t="str">
        <f t="shared" si="23"/>
        <v>adult</v>
      </c>
      <c r="Q746" t="s">
        <v>1559</v>
      </c>
      <c r="R746" t="s">
        <v>1566</v>
      </c>
      <c r="S746" t="s">
        <v>1569</v>
      </c>
      <c r="T746">
        <v>2100455</v>
      </c>
      <c r="U746">
        <v>4</v>
      </c>
      <c r="V746" t="s">
        <v>1585</v>
      </c>
      <c r="W746" t="s">
        <v>1594</v>
      </c>
      <c r="X746">
        <v>9.99</v>
      </c>
    </row>
    <row r="747" spans="1:24" x14ac:dyDescent="0.25">
      <c r="A747" t="s">
        <v>767</v>
      </c>
      <c r="B747" s="4">
        <v>45899</v>
      </c>
      <c r="C747" s="4" t="str">
        <f t="shared" si="22"/>
        <v>Aug</v>
      </c>
      <c r="D747" t="s">
        <v>1522</v>
      </c>
      <c r="E747" t="s">
        <v>1526</v>
      </c>
      <c r="F747" t="s">
        <v>1536</v>
      </c>
      <c r="G747" t="s">
        <v>1546</v>
      </c>
      <c r="H747" t="s">
        <v>1551</v>
      </c>
      <c r="I747">
        <v>2024</v>
      </c>
      <c r="J747" t="s">
        <v>1554</v>
      </c>
      <c r="K747" t="s">
        <v>1556</v>
      </c>
      <c r="L747">
        <v>871914</v>
      </c>
      <c r="M747">
        <v>810675</v>
      </c>
      <c r="N747">
        <v>61239</v>
      </c>
      <c r="O747">
        <v>57</v>
      </c>
      <c r="P747" t="str">
        <f t="shared" si="23"/>
        <v>senior</v>
      </c>
      <c r="Q747" t="s">
        <v>1558</v>
      </c>
      <c r="R747" t="s">
        <v>1563</v>
      </c>
      <c r="S747" t="s">
        <v>1569</v>
      </c>
      <c r="T747">
        <v>708402</v>
      </c>
      <c r="U747">
        <v>4</v>
      </c>
      <c r="V747" t="s">
        <v>1585</v>
      </c>
      <c r="W747" t="s">
        <v>1594</v>
      </c>
      <c r="X747">
        <v>7.02</v>
      </c>
    </row>
    <row r="748" spans="1:24" x14ac:dyDescent="0.25">
      <c r="A748" t="s">
        <v>768</v>
      </c>
      <c r="B748" s="4">
        <v>45810</v>
      </c>
      <c r="C748" s="4" t="str">
        <f t="shared" si="22"/>
        <v>Jun</v>
      </c>
      <c r="D748" t="s">
        <v>1522</v>
      </c>
      <c r="E748" t="s">
        <v>1523</v>
      </c>
      <c r="F748" t="s">
        <v>1529</v>
      </c>
      <c r="G748" t="s">
        <v>1545</v>
      </c>
      <c r="H748" t="s">
        <v>1550</v>
      </c>
      <c r="I748">
        <v>2025</v>
      </c>
      <c r="J748" t="s">
        <v>1554</v>
      </c>
      <c r="K748" t="s">
        <v>1557</v>
      </c>
      <c r="L748">
        <v>1265081</v>
      </c>
      <c r="M748">
        <v>1190650</v>
      </c>
      <c r="N748">
        <v>74431</v>
      </c>
      <c r="O748">
        <v>58</v>
      </c>
      <c r="P748" t="str">
        <f t="shared" si="23"/>
        <v>senior</v>
      </c>
      <c r="Q748" t="s">
        <v>1558</v>
      </c>
      <c r="R748" t="s">
        <v>1561</v>
      </c>
      <c r="S748" t="s">
        <v>1570</v>
      </c>
      <c r="T748">
        <v>717187</v>
      </c>
      <c r="U748">
        <v>5</v>
      </c>
      <c r="V748" t="s">
        <v>1584</v>
      </c>
      <c r="W748" t="s">
        <v>1592</v>
      </c>
      <c r="X748">
        <v>5.88</v>
      </c>
    </row>
    <row r="749" spans="1:24" x14ac:dyDescent="0.25">
      <c r="A749" t="s">
        <v>769</v>
      </c>
      <c r="B749" s="4">
        <v>45983</v>
      </c>
      <c r="C749" s="4" t="str">
        <f t="shared" si="22"/>
        <v>Nov</v>
      </c>
      <c r="D749" t="s">
        <v>1522</v>
      </c>
      <c r="E749" t="s">
        <v>1523</v>
      </c>
      <c r="F749" t="s">
        <v>1530</v>
      </c>
      <c r="G749" t="s">
        <v>1549</v>
      </c>
      <c r="H749" t="s">
        <v>4</v>
      </c>
      <c r="I749">
        <v>2025</v>
      </c>
      <c r="J749" t="s">
        <v>1554</v>
      </c>
      <c r="K749" t="s">
        <v>1556</v>
      </c>
      <c r="L749">
        <v>1756396</v>
      </c>
      <c r="M749">
        <v>1487710</v>
      </c>
      <c r="N749">
        <v>268686</v>
      </c>
      <c r="O749">
        <v>46</v>
      </c>
      <c r="P749" t="str">
        <f t="shared" si="23"/>
        <v>adult</v>
      </c>
      <c r="Q749" t="s">
        <v>1558</v>
      </c>
      <c r="R749" t="s">
        <v>1565</v>
      </c>
      <c r="S749" t="s">
        <v>1567</v>
      </c>
      <c r="T749">
        <v>4984</v>
      </c>
      <c r="U749">
        <v>4</v>
      </c>
      <c r="V749" t="s">
        <v>1583</v>
      </c>
      <c r="W749" t="s">
        <v>1593</v>
      </c>
      <c r="X749">
        <v>15.3</v>
      </c>
    </row>
    <row r="750" spans="1:24" x14ac:dyDescent="0.25">
      <c r="A750" t="s">
        <v>770</v>
      </c>
      <c r="B750" s="4">
        <v>45878</v>
      </c>
      <c r="C750" s="4" t="str">
        <f t="shared" si="22"/>
        <v>Aug</v>
      </c>
      <c r="D750" t="s">
        <v>1522</v>
      </c>
      <c r="E750" t="s">
        <v>1526</v>
      </c>
      <c r="F750" t="s">
        <v>1529</v>
      </c>
      <c r="G750" t="s">
        <v>1540</v>
      </c>
      <c r="H750" t="s">
        <v>1551</v>
      </c>
      <c r="I750">
        <v>2023</v>
      </c>
      <c r="J750" t="s">
        <v>1554</v>
      </c>
      <c r="K750" t="s">
        <v>1556</v>
      </c>
      <c r="L750">
        <v>920127</v>
      </c>
      <c r="M750">
        <v>852473</v>
      </c>
      <c r="N750">
        <v>67654</v>
      </c>
      <c r="O750">
        <v>62</v>
      </c>
      <c r="P750" t="str">
        <f t="shared" si="23"/>
        <v>senior</v>
      </c>
      <c r="Q750" t="s">
        <v>1558</v>
      </c>
      <c r="R750" t="s">
        <v>1561</v>
      </c>
      <c r="S750" t="s">
        <v>1567</v>
      </c>
      <c r="T750">
        <v>441143</v>
      </c>
      <c r="U750">
        <v>1</v>
      </c>
      <c r="V750" t="s">
        <v>1585</v>
      </c>
      <c r="W750" t="s">
        <v>1594</v>
      </c>
      <c r="X750">
        <v>7.35</v>
      </c>
    </row>
    <row r="751" spans="1:24" x14ac:dyDescent="0.25">
      <c r="A751" t="s">
        <v>771</v>
      </c>
      <c r="B751" s="4">
        <v>45963</v>
      </c>
      <c r="C751" s="4" t="str">
        <f t="shared" si="22"/>
        <v>Nov</v>
      </c>
      <c r="D751" t="s">
        <v>1522</v>
      </c>
      <c r="E751" t="s">
        <v>1523</v>
      </c>
      <c r="F751" t="s">
        <v>1532</v>
      </c>
      <c r="G751" t="s">
        <v>1543</v>
      </c>
      <c r="H751" t="s">
        <v>1550</v>
      </c>
      <c r="I751">
        <v>2025</v>
      </c>
      <c r="J751" t="s">
        <v>1554</v>
      </c>
      <c r="K751" t="s">
        <v>1556</v>
      </c>
      <c r="L751">
        <v>1354550</v>
      </c>
      <c r="M751">
        <v>1082299</v>
      </c>
      <c r="N751">
        <v>272251</v>
      </c>
      <c r="O751">
        <v>42</v>
      </c>
      <c r="P751" t="str">
        <f t="shared" si="23"/>
        <v>adult</v>
      </c>
      <c r="Q751" t="s">
        <v>1558</v>
      </c>
      <c r="R751" t="s">
        <v>1566</v>
      </c>
      <c r="S751" t="s">
        <v>1568</v>
      </c>
      <c r="T751">
        <v>753983</v>
      </c>
      <c r="U751">
        <v>1</v>
      </c>
      <c r="V751" t="s">
        <v>1583</v>
      </c>
      <c r="W751" t="s">
        <v>1593</v>
      </c>
      <c r="X751">
        <v>20.100000000000001</v>
      </c>
    </row>
    <row r="752" spans="1:24" x14ac:dyDescent="0.25">
      <c r="A752" t="s">
        <v>772</v>
      </c>
      <c r="B752" s="4">
        <v>45870</v>
      </c>
      <c r="C752" s="4" t="str">
        <f t="shared" si="22"/>
        <v>Aug</v>
      </c>
      <c r="D752" t="s">
        <v>1522</v>
      </c>
      <c r="E752" t="s">
        <v>1523</v>
      </c>
      <c r="F752" t="s">
        <v>1533</v>
      </c>
      <c r="G752" t="s">
        <v>1542</v>
      </c>
      <c r="H752" t="s">
        <v>1550</v>
      </c>
      <c r="I752">
        <v>2025</v>
      </c>
      <c r="J752" t="s">
        <v>1554</v>
      </c>
      <c r="K752" t="s">
        <v>1556</v>
      </c>
      <c r="L752">
        <v>1514484</v>
      </c>
      <c r="M752">
        <v>1270818</v>
      </c>
      <c r="N752">
        <v>243666</v>
      </c>
      <c r="O752">
        <v>22</v>
      </c>
      <c r="P752" t="str">
        <f t="shared" si="23"/>
        <v>young</v>
      </c>
      <c r="Q752" t="s">
        <v>1558</v>
      </c>
      <c r="R752" t="s">
        <v>1564</v>
      </c>
      <c r="S752" t="s">
        <v>1567</v>
      </c>
      <c r="T752">
        <v>509468</v>
      </c>
      <c r="U752">
        <v>5</v>
      </c>
      <c r="V752" t="s">
        <v>1585</v>
      </c>
      <c r="W752" t="s">
        <v>1594</v>
      </c>
      <c r="X752">
        <v>16.09</v>
      </c>
    </row>
    <row r="753" spans="1:24" x14ac:dyDescent="0.25">
      <c r="A753" t="s">
        <v>773</v>
      </c>
      <c r="B753" s="4">
        <v>46012</v>
      </c>
      <c r="C753" s="4" t="str">
        <f t="shared" si="22"/>
        <v>Dec</v>
      </c>
      <c r="D753" t="s">
        <v>1522</v>
      </c>
      <c r="E753" t="s">
        <v>1525</v>
      </c>
      <c r="F753" t="s">
        <v>1537</v>
      </c>
      <c r="G753" t="s">
        <v>1547</v>
      </c>
      <c r="H753" t="s">
        <v>4</v>
      </c>
      <c r="I753">
        <v>2024</v>
      </c>
      <c r="J753" t="s">
        <v>1554</v>
      </c>
      <c r="K753" t="s">
        <v>1556</v>
      </c>
      <c r="L753">
        <v>1502783</v>
      </c>
      <c r="M753">
        <v>1305181</v>
      </c>
      <c r="N753">
        <v>197602</v>
      </c>
      <c r="O753">
        <v>35</v>
      </c>
      <c r="P753" t="str">
        <f t="shared" si="23"/>
        <v>adult</v>
      </c>
      <c r="Q753" t="s">
        <v>1558</v>
      </c>
      <c r="R753" t="s">
        <v>1561</v>
      </c>
      <c r="S753" t="s">
        <v>1567</v>
      </c>
      <c r="T753">
        <v>2056707</v>
      </c>
      <c r="U753">
        <v>3</v>
      </c>
      <c r="V753" t="s">
        <v>1575</v>
      </c>
      <c r="W753" t="s">
        <v>1593</v>
      </c>
      <c r="X753">
        <v>13.15</v>
      </c>
    </row>
    <row r="754" spans="1:24" x14ac:dyDescent="0.25">
      <c r="A754" t="s">
        <v>774</v>
      </c>
      <c r="B754" s="4">
        <v>46166</v>
      </c>
      <c r="C754" s="4" t="str">
        <f t="shared" si="22"/>
        <v>May</v>
      </c>
      <c r="D754" t="s">
        <v>1522</v>
      </c>
      <c r="E754" t="s">
        <v>1527</v>
      </c>
      <c r="F754" t="s">
        <v>1535</v>
      </c>
      <c r="G754" t="s">
        <v>1548</v>
      </c>
      <c r="H754" t="s">
        <v>1550</v>
      </c>
      <c r="I754">
        <v>2025</v>
      </c>
      <c r="J754" t="s">
        <v>1554</v>
      </c>
      <c r="K754" t="s">
        <v>1556</v>
      </c>
      <c r="L754">
        <v>1301304</v>
      </c>
      <c r="M754">
        <v>1079308</v>
      </c>
      <c r="N754">
        <v>221996</v>
      </c>
      <c r="O754">
        <v>53</v>
      </c>
      <c r="P754" t="str">
        <f t="shared" si="23"/>
        <v>senior</v>
      </c>
      <c r="Q754" t="s">
        <v>1558</v>
      </c>
      <c r="R754" t="s">
        <v>1565</v>
      </c>
      <c r="S754" t="s">
        <v>1567</v>
      </c>
      <c r="T754">
        <v>2149430</v>
      </c>
      <c r="U754">
        <v>4</v>
      </c>
      <c r="V754" t="s">
        <v>1590</v>
      </c>
      <c r="W754" t="s">
        <v>1592</v>
      </c>
      <c r="X754">
        <v>17.059999999999999</v>
      </c>
    </row>
    <row r="755" spans="1:24" x14ac:dyDescent="0.25">
      <c r="A755" t="s">
        <v>775</v>
      </c>
      <c r="B755" s="4">
        <v>45912</v>
      </c>
      <c r="C755" s="4" t="str">
        <f t="shared" si="22"/>
        <v>Sep</v>
      </c>
      <c r="D755" t="s">
        <v>1522</v>
      </c>
      <c r="E755" t="s">
        <v>1523</v>
      </c>
      <c r="F755" t="s">
        <v>1532</v>
      </c>
      <c r="G755" t="s">
        <v>1544</v>
      </c>
      <c r="H755" t="s">
        <v>4</v>
      </c>
      <c r="I755">
        <v>2024</v>
      </c>
      <c r="J755" t="s">
        <v>1554</v>
      </c>
      <c r="K755" t="s">
        <v>1556</v>
      </c>
      <c r="L755">
        <v>1351886</v>
      </c>
      <c r="M755">
        <v>1218099</v>
      </c>
      <c r="N755">
        <v>133787</v>
      </c>
      <c r="O755">
        <v>24</v>
      </c>
      <c r="P755" t="str">
        <f t="shared" si="23"/>
        <v>young</v>
      </c>
      <c r="Q755" t="s">
        <v>1559</v>
      </c>
      <c r="R755" t="s">
        <v>1564</v>
      </c>
      <c r="S755" t="s">
        <v>1568</v>
      </c>
      <c r="T755">
        <v>95546</v>
      </c>
      <c r="U755">
        <v>1</v>
      </c>
      <c r="V755" t="s">
        <v>1577</v>
      </c>
      <c r="W755" t="s">
        <v>1594</v>
      </c>
      <c r="X755">
        <v>9.9</v>
      </c>
    </row>
    <row r="756" spans="1:24" x14ac:dyDescent="0.25">
      <c r="A756" t="s">
        <v>776</v>
      </c>
      <c r="B756" s="4">
        <v>45870</v>
      </c>
      <c r="C756" s="4" t="str">
        <f t="shared" si="22"/>
        <v>Aug</v>
      </c>
      <c r="D756" t="s">
        <v>1522</v>
      </c>
      <c r="E756" t="s">
        <v>1526</v>
      </c>
      <c r="F756" t="s">
        <v>1536</v>
      </c>
      <c r="G756" t="s">
        <v>1548</v>
      </c>
      <c r="H756" t="s">
        <v>4</v>
      </c>
      <c r="I756">
        <v>2023</v>
      </c>
      <c r="J756" t="s">
        <v>1554</v>
      </c>
      <c r="K756" t="s">
        <v>1557</v>
      </c>
      <c r="L756">
        <v>1527369</v>
      </c>
      <c r="M756">
        <v>1400405</v>
      </c>
      <c r="N756">
        <v>126964</v>
      </c>
      <c r="O756">
        <v>50</v>
      </c>
      <c r="P756" t="str">
        <f t="shared" si="23"/>
        <v>adult</v>
      </c>
      <c r="Q756" t="s">
        <v>1558</v>
      </c>
      <c r="R756" t="s">
        <v>1566</v>
      </c>
      <c r="S756" t="s">
        <v>1567</v>
      </c>
      <c r="T756">
        <v>601301</v>
      </c>
      <c r="U756">
        <v>2</v>
      </c>
      <c r="V756" t="s">
        <v>1585</v>
      </c>
      <c r="W756" t="s">
        <v>1594</v>
      </c>
      <c r="X756">
        <v>8.31</v>
      </c>
    </row>
    <row r="757" spans="1:24" x14ac:dyDescent="0.25">
      <c r="A757" t="s">
        <v>777</v>
      </c>
      <c r="B757" s="4">
        <v>45933</v>
      </c>
      <c r="C757" s="4" t="str">
        <f t="shared" si="22"/>
        <v>Oct</v>
      </c>
      <c r="D757" t="s">
        <v>1522</v>
      </c>
      <c r="E757" t="s">
        <v>1523</v>
      </c>
      <c r="F757" t="s">
        <v>1530</v>
      </c>
      <c r="G757" t="s">
        <v>1549</v>
      </c>
      <c r="H757" t="s">
        <v>4</v>
      </c>
      <c r="I757">
        <v>2024</v>
      </c>
      <c r="J757" t="s">
        <v>1554</v>
      </c>
      <c r="K757" t="s">
        <v>1556</v>
      </c>
      <c r="L757">
        <v>1650351</v>
      </c>
      <c r="M757">
        <v>1509236</v>
      </c>
      <c r="N757">
        <v>141115</v>
      </c>
      <c r="O757">
        <v>28</v>
      </c>
      <c r="P757" t="str">
        <f t="shared" si="23"/>
        <v>young</v>
      </c>
      <c r="Q757" t="s">
        <v>1558</v>
      </c>
      <c r="R757" t="s">
        <v>1564</v>
      </c>
      <c r="S757" t="s">
        <v>1568</v>
      </c>
      <c r="T757">
        <v>2015201</v>
      </c>
      <c r="U757">
        <v>1</v>
      </c>
      <c r="V757" t="s">
        <v>1574</v>
      </c>
      <c r="W757" t="s">
        <v>1593</v>
      </c>
      <c r="X757">
        <v>8.5500000000000007</v>
      </c>
    </row>
    <row r="758" spans="1:24" x14ac:dyDescent="0.25">
      <c r="A758" t="s">
        <v>778</v>
      </c>
      <c r="B758" s="4">
        <v>45918</v>
      </c>
      <c r="C758" s="4" t="str">
        <f t="shared" si="22"/>
        <v>Sep</v>
      </c>
      <c r="D758" t="s">
        <v>1522</v>
      </c>
      <c r="E758" t="s">
        <v>1523</v>
      </c>
      <c r="F758" t="s">
        <v>1533</v>
      </c>
      <c r="G758" t="s">
        <v>1548</v>
      </c>
      <c r="H758" t="s">
        <v>1550</v>
      </c>
      <c r="I758">
        <v>2023</v>
      </c>
      <c r="J758" t="s">
        <v>1554</v>
      </c>
      <c r="K758" t="s">
        <v>1556</v>
      </c>
      <c r="L758">
        <v>1632220</v>
      </c>
      <c r="M758">
        <v>1458403</v>
      </c>
      <c r="N758">
        <v>173817</v>
      </c>
      <c r="O758">
        <v>65</v>
      </c>
      <c r="P758" t="str">
        <f t="shared" si="23"/>
        <v>senior</v>
      </c>
      <c r="Q758" t="s">
        <v>1558</v>
      </c>
      <c r="R758" t="s">
        <v>1566</v>
      </c>
      <c r="S758" t="s">
        <v>1568</v>
      </c>
      <c r="T758">
        <v>1370922</v>
      </c>
      <c r="U758">
        <v>5</v>
      </c>
      <c r="V758" t="s">
        <v>1577</v>
      </c>
      <c r="W758" t="s">
        <v>1594</v>
      </c>
      <c r="X758">
        <v>10.65</v>
      </c>
    </row>
    <row r="759" spans="1:24" x14ac:dyDescent="0.25">
      <c r="A759" t="s">
        <v>779</v>
      </c>
      <c r="B759" s="4">
        <v>46012</v>
      </c>
      <c r="C759" s="4" t="str">
        <f t="shared" si="22"/>
        <v>Dec</v>
      </c>
      <c r="D759" t="s">
        <v>1522</v>
      </c>
      <c r="E759" t="s">
        <v>1526</v>
      </c>
      <c r="F759" t="s">
        <v>1534</v>
      </c>
      <c r="G759" t="s">
        <v>1547</v>
      </c>
      <c r="H759" t="s">
        <v>1550</v>
      </c>
      <c r="I759">
        <v>2024</v>
      </c>
      <c r="J759" t="s">
        <v>1554</v>
      </c>
      <c r="K759" t="s">
        <v>1556</v>
      </c>
      <c r="L759">
        <v>1235574</v>
      </c>
      <c r="M759">
        <v>1061828</v>
      </c>
      <c r="N759">
        <v>173746</v>
      </c>
      <c r="O759">
        <v>58</v>
      </c>
      <c r="P759" t="str">
        <f t="shared" si="23"/>
        <v>senior</v>
      </c>
      <c r="Q759" t="s">
        <v>1558</v>
      </c>
      <c r="R759" t="s">
        <v>1566</v>
      </c>
      <c r="S759" t="s">
        <v>1567</v>
      </c>
      <c r="T759">
        <v>1187100</v>
      </c>
      <c r="U759">
        <v>3</v>
      </c>
      <c r="V759" t="s">
        <v>1575</v>
      </c>
      <c r="W759" t="s">
        <v>1593</v>
      </c>
      <c r="X759">
        <v>14.06</v>
      </c>
    </row>
    <row r="760" spans="1:24" x14ac:dyDescent="0.25">
      <c r="A760" t="s">
        <v>780</v>
      </c>
      <c r="B760" s="4">
        <v>45766</v>
      </c>
      <c r="C760" s="4" t="str">
        <f t="shared" si="22"/>
        <v>Apr</v>
      </c>
      <c r="D760" t="s">
        <v>1522</v>
      </c>
      <c r="E760" t="s">
        <v>1524</v>
      </c>
      <c r="F760" t="s">
        <v>1529</v>
      </c>
      <c r="G760" t="s">
        <v>1539</v>
      </c>
      <c r="H760" t="s">
        <v>1550</v>
      </c>
      <c r="I760">
        <v>2024</v>
      </c>
      <c r="J760" t="s">
        <v>1554</v>
      </c>
      <c r="K760" t="s">
        <v>1556</v>
      </c>
      <c r="L760">
        <v>1318922</v>
      </c>
      <c r="M760">
        <v>1234211</v>
      </c>
      <c r="N760">
        <v>84711</v>
      </c>
      <c r="O760">
        <v>55</v>
      </c>
      <c r="P760" t="str">
        <f t="shared" si="23"/>
        <v>senior</v>
      </c>
      <c r="Q760" t="s">
        <v>1558</v>
      </c>
      <c r="R760" t="s">
        <v>1566</v>
      </c>
      <c r="S760" t="s">
        <v>1570</v>
      </c>
      <c r="T760">
        <v>1357584</v>
      </c>
      <c r="U760">
        <v>1</v>
      </c>
      <c r="V760" t="s">
        <v>1573</v>
      </c>
      <c r="W760" t="s">
        <v>1592</v>
      </c>
      <c r="X760">
        <v>6.42</v>
      </c>
    </row>
    <row r="761" spans="1:24" x14ac:dyDescent="0.25">
      <c r="A761" t="s">
        <v>781</v>
      </c>
      <c r="B761" s="4">
        <v>46034</v>
      </c>
      <c r="C761" s="4" t="str">
        <f t="shared" si="22"/>
        <v>Jan</v>
      </c>
      <c r="D761" t="s">
        <v>1522</v>
      </c>
      <c r="E761" t="s">
        <v>1524</v>
      </c>
      <c r="F761" t="s">
        <v>1528</v>
      </c>
      <c r="G761" t="s">
        <v>1548</v>
      </c>
      <c r="H761" t="s">
        <v>1550</v>
      </c>
      <c r="I761">
        <v>2022</v>
      </c>
      <c r="J761" t="s">
        <v>1553</v>
      </c>
      <c r="K761" t="s">
        <v>1556</v>
      </c>
      <c r="L761">
        <v>1446196</v>
      </c>
      <c r="M761">
        <v>1293742</v>
      </c>
      <c r="N761">
        <v>152454</v>
      </c>
      <c r="O761">
        <v>45</v>
      </c>
      <c r="P761" t="str">
        <f t="shared" si="23"/>
        <v>adult</v>
      </c>
      <c r="Q761" t="s">
        <v>1559</v>
      </c>
      <c r="R761" t="s">
        <v>1565</v>
      </c>
      <c r="S761" t="s">
        <v>1567</v>
      </c>
      <c r="T761">
        <v>587614</v>
      </c>
      <c r="U761">
        <v>3</v>
      </c>
      <c r="V761" t="s">
        <v>1581</v>
      </c>
      <c r="W761" t="s">
        <v>1591</v>
      </c>
      <c r="X761">
        <v>10.54</v>
      </c>
    </row>
    <row r="762" spans="1:24" x14ac:dyDescent="0.25">
      <c r="A762" t="s">
        <v>782</v>
      </c>
      <c r="B762" s="4">
        <v>46247</v>
      </c>
      <c r="C762" s="4" t="str">
        <f t="shared" si="22"/>
        <v>Aug</v>
      </c>
      <c r="D762" t="s">
        <v>1522</v>
      </c>
      <c r="E762" t="s">
        <v>1526</v>
      </c>
      <c r="F762" t="s">
        <v>1535</v>
      </c>
      <c r="G762" t="s">
        <v>1546</v>
      </c>
      <c r="H762" t="s">
        <v>1550</v>
      </c>
      <c r="I762">
        <v>2023</v>
      </c>
      <c r="J762" t="s">
        <v>1554</v>
      </c>
      <c r="K762" t="s">
        <v>1556</v>
      </c>
      <c r="L762">
        <v>1451626</v>
      </c>
      <c r="M762">
        <v>1293398</v>
      </c>
      <c r="N762">
        <v>158228</v>
      </c>
      <c r="O762">
        <v>36</v>
      </c>
      <c r="P762" t="str">
        <f t="shared" si="23"/>
        <v>adult</v>
      </c>
      <c r="Q762" t="s">
        <v>1558</v>
      </c>
      <c r="R762" t="s">
        <v>1562</v>
      </c>
      <c r="S762" t="s">
        <v>1567</v>
      </c>
      <c r="T762">
        <v>507445</v>
      </c>
      <c r="U762">
        <v>4</v>
      </c>
      <c r="V762" t="s">
        <v>1576</v>
      </c>
      <c r="W762" t="s">
        <v>1594</v>
      </c>
      <c r="X762">
        <v>10.9</v>
      </c>
    </row>
    <row r="763" spans="1:24" x14ac:dyDescent="0.25">
      <c r="A763" t="s">
        <v>783</v>
      </c>
      <c r="B763" s="4">
        <v>45992</v>
      </c>
      <c r="C763" s="4" t="str">
        <f t="shared" si="22"/>
        <v>Dec</v>
      </c>
      <c r="D763" t="s">
        <v>1522</v>
      </c>
      <c r="E763" t="s">
        <v>1523</v>
      </c>
      <c r="F763" t="s">
        <v>1535</v>
      </c>
      <c r="G763" t="s">
        <v>1549</v>
      </c>
      <c r="H763" t="s">
        <v>1552</v>
      </c>
      <c r="I763">
        <v>2023</v>
      </c>
      <c r="J763" t="s">
        <v>1555</v>
      </c>
      <c r="K763" t="s">
        <v>1556</v>
      </c>
      <c r="L763">
        <v>1949329</v>
      </c>
      <c r="M763">
        <v>1650153</v>
      </c>
      <c r="N763">
        <v>299176</v>
      </c>
      <c r="O763">
        <v>62</v>
      </c>
      <c r="P763" t="str">
        <f t="shared" si="23"/>
        <v>senior</v>
      </c>
      <c r="Q763" t="s">
        <v>1559</v>
      </c>
      <c r="R763" t="s">
        <v>1564</v>
      </c>
      <c r="S763" t="s">
        <v>1567</v>
      </c>
      <c r="T763">
        <v>1108978</v>
      </c>
      <c r="U763">
        <v>4</v>
      </c>
      <c r="V763" t="s">
        <v>1575</v>
      </c>
      <c r="W763" t="s">
        <v>1593</v>
      </c>
      <c r="X763">
        <v>15.35</v>
      </c>
    </row>
    <row r="764" spans="1:24" x14ac:dyDescent="0.25">
      <c r="A764" t="s">
        <v>784</v>
      </c>
      <c r="B764" s="4">
        <v>45957</v>
      </c>
      <c r="C764" s="4" t="str">
        <f t="shared" si="22"/>
        <v>Oct</v>
      </c>
      <c r="D764" t="s">
        <v>1522</v>
      </c>
      <c r="E764" t="s">
        <v>1525</v>
      </c>
      <c r="F764" t="s">
        <v>1536</v>
      </c>
      <c r="G764" t="s">
        <v>1546</v>
      </c>
      <c r="H764" t="s">
        <v>1551</v>
      </c>
      <c r="I764">
        <v>2025</v>
      </c>
      <c r="J764" t="s">
        <v>1554</v>
      </c>
      <c r="K764" t="s">
        <v>1556</v>
      </c>
      <c r="L764">
        <v>974602</v>
      </c>
      <c r="M764">
        <v>863438</v>
      </c>
      <c r="N764">
        <v>111164</v>
      </c>
      <c r="O764">
        <v>48</v>
      </c>
      <c r="P764" t="str">
        <f t="shared" si="23"/>
        <v>adult</v>
      </c>
      <c r="Q764" t="s">
        <v>1559</v>
      </c>
      <c r="R764" t="s">
        <v>1564</v>
      </c>
      <c r="S764" t="s">
        <v>1567</v>
      </c>
      <c r="T764">
        <v>464282</v>
      </c>
      <c r="U764">
        <v>5</v>
      </c>
      <c r="V764" t="s">
        <v>1574</v>
      </c>
      <c r="W764" t="s">
        <v>1593</v>
      </c>
      <c r="X764">
        <v>11.41</v>
      </c>
    </row>
    <row r="765" spans="1:24" x14ac:dyDescent="0.25">
      <c r="A765" t="s">
        <v>785</v>
      </c>
      <c r="B765" s="4">
        <v>46251</v>
      </c>
      <c r="C765" s="4" t="str">
        <f t="shared" si="22"/>
        <v>Aug</v>
      </c>
      <c r="D765" t="s">
        <v>1522</v>
      </c>
      <c r="E765" t="s">
        <v>1525</v>
      </c>
      <c r="F765" t="s">
        <v>1531</v>
      </c>
      <c r="G765" t="s">
        <v>1544</v>
      </c>
      <c r="H765" t="s">
        <v>1550</v>
      </c>
      <c r="I765">
        <v>2026</v>
      </c>
      <c r="J765" t="s">
        <v>1554</v>
      </c>
      <c r="K765" t="s">
        <v>1556</v>
      </c>
      <c r="L765">
        <v>1190497</v>
      </c>
      <c r="M765">
        <v>1057991</v>
      </c>
      <c r="N765">
        <v>132506</v>
      </c>
      <c r="O765">
        <v>45</v>
      </c>
      <c r="P765" t="str">
        <f t="shared" si="23"/>
        <v>adult</v>
      </c>
      <c r="Q765" t="s">
        <v>1558</v>
      </c>
      <c r="R765" t="s">
        <v>1564</v>
      </c>
      <c r="S765" t="s">
        <v>1567</v>
      </c>
      <c r="T765">
        <v>1111451</v>
      </c>
      <c r="U765">
        <v>4</v>
      </c>
      <c r="V765" t="s">
        <v>1576</v>
      </c>
      <c r="W765" t="s">
        <v>1594</v>
      </c>
      <c r="X765">
        <v>11.13</v>
      </c>
    </row>
    <row r="766" spans="1:24" x14ac:dyDescent="0.25">
      <c r="A766" t="s">
        <v>786</v>
      </c>
      <c r="B766" s="4">
        <v>46191</v>
      </c>
      <c r="C766" s="4" t="str">
        <f t="shared" si="22"/>
        <v>Jun</v>
      </c>
      <c r="D766" t="s">
        <v>1522</v>
      </c>
      <c r="E766" t="s">
        <v>1527</v>
      </c>
      <c r="F766" t="s">
        <v>1537</v>
      </c>
      <c r="G766" t="s">
        <v>1546</v>
      </c>
      <c r="H766" t="s">
        <v>1552</v>
      </c>
      <c r="I766">
        <v>2024</v>
      </c>
      <c r="J766" t="s">
        <v>1555</v>
      </c>
      <c r="K766" t="s">
        <v>1556</v>
      </c>
      <c r="L766">
        <v>1858322</v>
      </c>
      <c r="M766">
        <v>1725514</v>
      </c>
      <c r="N766">
        <v>132808</v>
      </c>
      <c r="O766">
        <v>30</v>
      </c>
      <c r="P766" t="str">
        <f t="shared" si="23"/>
        <v>young</v>
      </c>
      <c r="Q766" t="s">
        <v>1558</v>
      </c>
      <c r="R766" t="s">
        <v>1565</v>
      </c>
      <c r="S766" t="s">
        <v>1570</v>
      </c>
      <c r="T766">
        <v>819969</v>
      </c>
      <c r="U766">
        <v>3</v>
      </c>
      <c r="V766" t="s">
        <v>1582</v>
      </c>
      <c r="W766" t="s">
        <v>1592</v>
      </c>
      <c r="X766">
        <v>7.15</v>
      </c>
    </row>
    <row r="767" spans="1:24" x14ac:dyDescent="0.25">
      <c r="A767" t="s">
        <v>787</v>
      </c>
      <c r="B767" s="4">
        <v>46006</v>
      </c>
      <c r="C767" s="4" t="str">
        <f t="shared" si="22"/>
        <v>Dec</v>
      </c>
      <c r="D767" t="s">
        <v>1522</v>
      </c>
      <c r="E767" t="s">
        <v>1525</v>
      </c>
      <c r="F767" t="s">
        <v>1529</v>
      </c>
      <c r="G767" t="s">
        <v>1540</v>
      </c>
      <c r="H767" t="s">
        <v>1551</v>
      </c>
      <c r="I767">
        <v>2024</v>
      </c>
      <c r="J767" t="s">
        <v>1554</v>
      </c>
      <c r="K767" t="s">
        <v>1556</v>
      </c>
      <c r="L767">
        <v>922682</v>
      </c>
      <c r="M767">
        <v>854391</v>
      </c>
      <c r="N767">
        <v>68291</v>
      </c>
      <c r="O767">
        <v>33</v>
      </c>
      <c r="P767" t="str">
        <f t="shared" si="23"/>
        <v>adult</v>
      </c>
      <c r="Q767" t="s">
        <v>1558</v>
      </c>
      <c r="R767" t="s">
        <v>1562</v>
      </c>
      <c r="S767" t="s">
        <v>1567</v>
      </c>
      <c r="T767">
        <v>1505525</v>
      </c>
      <c r="U767">
        <v>1</v>
      </c>
      <c r="V767" t="s">
        <v>1575</v>
      </c>
      <c r="W767" t="s">
        <v>1593</v>
      </c>
      <c r="X767">
        <v>7.4</v>
      </c>
    </row>
    <row r="768" spans="1:24" x14ac:dyDescent="0.25">
      <c r="A768" t="s">
        <v>788</v>
      </c>
      <c r="B768" s="4">
        <v>45977</v>
      </c>
      <c r="C768" s="4" t="str">
        <f t="shared" si="22"/>
        <v>Nov</v>
      </c>
      <c r="D768" t="s">
        <v>1522</v>
      </c>
      <c r="E768" t="s">
        <v>1523</v>
      </c>
      <c r="F768" t="s">
        <v>1535</v>
      </c>
      <c r="G768" t="s">
        <v>1538</v>
      </c>
      <c r="H768" t="s">
        <v>4</v>
      </c>
      <c r="I768">
        <v>2026</v>
      </c>
      <c r="J768" t="s">
        <v>1554</v>
      </c>
      <c r="K768" t="s">
        <v>1557</v>
      </c>
      <c r="L768">
        <v>1399214</v>
      </c>
      <c r="M768">
        <v>1191388</v>
      </c>
      <c r="N768">
        <v>207826</v>
      </c>
      <c r="O768">
        <v>34</v>
      </c>
      <c r="P768" t="str">
        <f t="shared" si="23"/>
        <v>adult</v>
      </c>
      <c r="Q768" t="s">
        <v>1558</v>
      </c>
      <c r="R768" t="s">
        <v>1561</v>
      </c>
      <c r="S768" t="s">
        <v>1568</v>
      </c>
      <c r="T768">
        <v>331234</v>
      </c>
      <c r="U768">
        <v>2</v>
      </c>
      <c r="V768" t="s">
        <v>1583</v>
      </c>
      <c r="W768" t="s">
        <v>1593</v>
      </c>
      <c r="X768">
        <v>14.85</v>
      </c>
    </row>
    <row r="769" spans="1:24" x14ac:dyDescent="0.25">
      <c r="A769" t="s">
        <v>789</v>
      </c>
      <c r="B769" s="4">
        <v>45944</v>
      </c>
      <c r="C769" s="4" t="str">
        <f t="shared" si="22"/>
        <v>Oct</v>
      </c>
      <c r="D769" t="s">
        <v>1522</v>
      </c>
      <c r="E769" t="s">
        <v>1526</v>
      </c>
      <c r="F769" t="s">
        <v>1533</v>
      </c>
      <c r="G769" t="s">
        <v>1543</v>
      </c>
      <c r="H769" t="s">
        <v>1552</v>
      </c>
      <c r="I769">
        <v>2024</v>
      </c>
      <c r="J769" t="s">
        <v>1555</v>
      </c>
      <c r="K769" t="s">
        <v>1556</v>
      </c>
      <c r="L769">
        <v>2038602</v>
      </c>
      <c r="M769">
        <v>1753302</v>
      </c>
      <c r="N769">
        <v>285300</v>
      </c>
      <c r="O769">
        <v>29</v>
      </c>
      <c r="P769" t="str">
        <f t="shared" si="23"/>
        <v>young</v>
      </c>
      <c r="Q769" t="s">
        <v>1558</v>
      </c>
      <c r="R769" t="s">
        <v>1564</v>
      </c>
      <c r="S769" t="s">
        <v>1568</v>
      </c>
      <c r="T769">
        <v>1277055</v>
      </c>
      <c r="U769">
        <v>1</v>
      </c>
      <c r="V769" t="s">
        <v>1574</v>
      </c>
      <c r="W769" t="s">
        <v>1593</v>
      </c>
      <c r="X769">
        <v>13.99</v>
      </c>
    </row>
    <row r="770" spans="1:24" x14ac:dyDescent="0.25">
      <c r="A770" t="s">
        <v>790</v>
      </c>
      <c r="B770" s="4">
        <v>45863</v>
      </c>
      <c r="C770" s="4" t="str">
        <f t="shared" si="22"/>
        <v>Jul</v>
      </c>
      <c r="D770" t="s">
        <v>1522</v>
      </c>
      <c r="E770" t="s">
        <v>1525</v>
      </c>
      <c r="F770" t="s">
        <v>1536</v>
      </c>
      <c r="G770" t="s">
        <v>1540</v>
      </c>
      <c r="H770" t="s">
        <v>4</v>
      </c>
      <c r="I770">
        <v>2025</v>
      </c>
      <c r="J770" t="s">
        <v>1554</v>
      </c>
      <c r="K770" t="s">
        <v>1557</v>
      </c>
      <c r="L770">
        <v>1399441</v>
      </c>
      <c r="M770">
        <v>1159386</v>
      </c>
      <c r="N770">
        <v>240055</v>
      </c>
      <c r="O770">
        <v>30</v>
      </c>
      <c r="P770" t="str">
        <f t="shared" si="23"/>
        <v>young</v>
      </c>
      <c r="Q770" t="s">
        <v>1559</v>
      </c>
      <c r="R770" t="s">
        <v>1563</v>
      </c>
      <c r="S770" t="s">
        <v>1567</v>
      </c>
      <c r="T770">
        <v>1018988</v>
      </c>
      <c r="U770">
        <v>1</v>
      </c>
      <c r="V770" t="s">
        <v>1579</v>
      </c>
      <c r="W770" t="s">
        <v>1594</v>
      </c>
      <c r="X770">
        <v>17.149999999999999</v>
      </c>
    </row>
    <row r="771" spans="1:24" x14ac:dyDescent="0.25">
      <c r="A771" t="s">
        <v>791</v>
      </c>
      <c r="B771" s="4">
        <v>46014</v>
      </c>
      <c r="C771" s="4" t="str">
        <f t="shared" ref="C771:C834" si="24">TEXT(B771,"MMM")</f>
        <v>Dec</v>
      </c>
      <c r="D771" t="s">
        <v>1522</v>
      </c>
      <c r="E771" t="s">
        <v>1525</v>
      </c>
      <c r="F771" t="s">
        <v>1535</v>
      </c>
      <c r="G771" t="s">
        <v>1540</v>
      </c>
      <c r="H771" t="s">
        <v>1551</v>
      </c>
      <c r="I771">
        <v>2025</v>
      </c>
      <c r="J771" t="s">
        <v>1554</v>
      </c>
      <c r="K771" t="s">
        <v>1556</v>
      </c>
      <c r="L771">
        <v>762835</v>
      </c>
      <c r="M771">
        <v>701389</v>
      </c>
      <c r="N771">
        <v>61446</v>
      </c>
      <c r="O771">
        <v>64</v>
      </c>
      <c r="P771" t="str">
        <f t="shared" ref="P771:P834" si="25">IF(O771&gt;50,"senior",IF(O771&gt;30,"adult","young"))</f>
        <v>senior</v>
      </c>
      <c r="Q771" t="s">
        <v>1558</v>
      </c>
      <c r="R771" t="s">
        <v>1563</v>
      </c>
      <c r="S771" t="s">
        <v>1567</v>
      </c>
      <c r="T771">
        <v>896414</v>
      </c>
      <c r="U771">
        <v>2</v>
      </c>
      <c r="V771" t="s">
        <v>1575</v>
      </c>
      <c r="W771" t="s">
        <v>1593</v>
      </c>
      <c r="X771">
        <v>8.0500000000000007</v>
      </c>
    </row>
    <row r="772" spans="1:24" x14ac:dyDescent="0.25">
      <c r="A772" t="s">
        <v>792</v>
      </c>
      <c r="B772" s="4">
        <v>45885</v>
      </c>
      <c r="C772" s="4" t="str">
        <f t="shared" si="24"/>
        <v>Aug</v>
      </c>
      <c r="D772" t="s">
        <v>1522</v>
      </c>
      <c r="E772" t="s">
        <v>1526</v>
      </c>
      <c r="F772" t="s">
        <v>1531</v>
      </c>
      <c r="G772" t="s">
        <v>1546</v>
      </c>
      <c r="H772" t="s">
        <v>1552</v>
      </c>
      <c r="I772">
        <v>2025</v>
      </c>
      <c r="J772" t="s">
        <v>1555</v>
      </c>
      <c r="K772" t="s">
        <v>1556</v>
      </c>
      <c r="L772">
        <v>1910465</v>
      </c>
      <c r="M772">
        <v>1742965</v>
      </c>
      <c r="N772">
        <v>167500</v>
      </c>
      <c r="O772">
        <v>44</v>
      </c>
      <c r="P772" t="str">
        <f t="shared" si="25"/>
        <v>adult</v>
      </c>
      <c r="Q772" t="s">
        <v>1559</v>
      </c>
      <c r="R772" t="s">
        <v>1565</v>
      </c>
      <c r="S772" t="s">
        <v>1570</v>
      </c>
      <c r="T772">
        <v>311283</v>
      </c>
      <c r="U772">
        <v>1</v>
      </c>
      <c r="V772" t="s">
        <v>1585</v>
      </c>
      <c r="W772" t="s">
        <v>1594</v>
      </c>
      <c r="X772">
        <v>8.77</v>
      </c>
    </row>
    <row r="773" spans="1:24" x14ac:dyDescent="0.25">
      <c r="A773" t="s">
        <v>793</v>
      </c>
      <c r="B773" s="4">
        <v>46108</v>
      </c>
      <c r="C773" s="4" t="str">
        <f t="shared" si="24"/>
        <v>Mar</v>
      </c>
      <c r="D773" t="s">
        <v>1522</v>
      </c>
      <c r="E773" t="s">
        <v>1527</v>
      </c>
      <c r="F773" t="s">
        <v>1537</v>
      </c>
      <c r="G773" t="s">
        <v>1547</v>
      </c>
      <c r="H773" t="s">
        <v>1550</v>
      </c>
      <c r="I773">
        <v>2026</v>
      </c>
      <c r="J773" t="s">
        <v>1554</v>
      </c>
      <c r="K773" t="s">
        <v>1556</v>
      </c>
      <c r="L773">
        <v>1578370</v>
      </c>
      <c r="M773">
        <v>1342433</v>
      </c>
      <c r="N773">
        <v>235937</v>
      </c>
      <c r="O773">
        <v>62</v>
      </c>
      <c r="P773" t="str">
        <f t="shared" si="25"/>
        <v>senior</v>
      </c>
      <c r="Q773" t="s">
        <v>1558</v>
      </c>
      <c r="R773" t="s">
        <v>1562</v>
      </c>
      <c r="S773" t="s">
        <v>1568</v>
      </c>
      <c r="T773">
        <v>1756281</v>
      </c>
      <c r="U773">
        <v>3</v>
      </c>
      <c r="V773" t="s">
        <v>1586</v>
      </c>
      <c r="W773" t="s">
        <v>1591</v>
      </c>
      <c r="X773">
        <v>14.95</v>
      </c>
    </row>
    <row r="774" spans="1:24" x14ac:dyDescent="0.25">
      <c r="A774" t="s">
        <v>794</v>
      </c>
      <c r="B774" s="4">
        <v>46113</v>
      </c>
      <c r="C774" s="4" t="str">
        <f t="shared" si="24"/>
        <v>Apr</v>
      </c>
      <c r="D774" t="s">
        <v>1522</v>
      </c>
      <c r="E774" t="s">
        <v>1524</v>
      </c>
      <c r="F774" t="s">
        <v>1536</v>
      </c>
      <c r="G774" t="s">
        <v>1546</v>
      </c>
      <c r="H774" t="s">
        <v>1551</v>
      </c>
      <c r="I774">
        <v>2022</v>
      </c>
      <c r="J774" t="s">
        <v>1554</v>
      </c>
      <c r="K774" t="s">
        <v>1557</v>
      </c>
      <c r="L774">
        <v>1026033</v>
      </c>
      <c r="M774">
        <v>899769</v>
      </c>
      <c r="N774">
        <v>126264</v>
      </c>
      <c r="O774">
        <v>51</v>
      </c>
      <c r="P774" t="str">
        <f t="shared" si="25"/>
        <v>senior</v>
      </c>
      <c r="Q774" t="s">
        <v>1558</v>
      </c>
      <c r="R774" t="s">
        <v>1561</v>
      </c>
      <c r="S774" t="s">
        <v>1567</v>
      </c>
      <c r="T774">
        <v>1150567</v>
      </c>
      <c r="U774">
        <v>3</v>
      </c>
      <c r="V774" t="s">
        <v>1580</v>
      </c>
      <c r="W774" t="s">
        <v>1592</v>
      </c>
      <c r="X774">
        <v>12.31</v>
      </c>
    </row>
    <row r="775" spans="1:24" x14ac:dyDescent="0.25">
      <c r="A775" t="s">
        <v>795</v>
      </c>
      <c r="B775" s="4">
        <v>45990</v>
      </c>
      <c r="C775" s="4" t="str">
        <f t="shared" si="24"/>
        <v>Nov</v>
      </c>
      <c r="D775" t="s">
        <v>1522</v>
      </c>
      <c r="E775" t="s">
        <v>1527</v>
      </c>
      <c r="F775" t="s">
        <v>1533</v>
      </c>
      <c r="G775" t="s">
        <v>1545</v>
      </c>
      <c r="H775" t="s">
        <v>1551</v>
      </c>
      <c r="I775">
        <v>2023</v>
      </c>
      <c r="J775" t="s">
        <v>1554</v>
      </c>
      <c r="K775" t="s">
        <v>1557</v>
      </c>
      <c r="L775">
        <v>1059282</v>
      </c>
      <c r="M775">
        <v>907710</v>
      </c>
      <c r="N775">
        <v>151572</v>
      </c>
      <c r="O775">
        <v>31</v>
      </c>
      <c r="P775" t="str">
        <f t="shared" si="25"/>
        <v>adult</v>
      </c>
      <c r="Q775" t="s">
        <v>1559</v>
      </c>
      <c r="R775" t="s">
        <v>1563</v>
      </c>
      <c r="S775" t="s">
        <v>1570</v>
      </c>
      <c r="T775">
        <v>1575006</v>
      </c>
      <c r="U775">
        <v>5</v>
      </c>
      <c r="V775" t="s">
        <v>1583</v>
      </c>
      <c r="W775" t="s">
        <v>1593</v>
      </c>
      <c r="X775">
        <v>14.31</v>
      </c>
    </row>
    <row r="776" spans="1:24" x14ac:dyDescent="0.25">
      <c r="A776" t="s">
        <v>796</v>
      </c>
      <c r="B776" s="4">
        <v>46012</v>
      </c>
      <c r="C776" s="4" t="str">
        <f t="shared" si="24"/>
        <v>Dec</v>
      </c>
      <c r="D776" t="s">
        <v>1522</v>
      </c>
      <c r="E776" t="s">
        <v>1523</v>
      </c>
      <c r="F776" t="s">
        <v>1529</v>
      </c>
      <c r="G776" t="s">
        <v>1539</v>
      </c>
      <c r="H776" t="s">
        <v>4</v>
      </c>
      <c r="I776">
        <v>2026</v>
      </c>
      <c r="J776" t="s">
        <v>1554</v>
      </c>
      <c r="K776" t="s">
        <v>1556</v>
      </c>
      <c r="L776">
        <v>1770387</v>
      </c>
      <c r="M776">
        <v>1537008</v>
      </c>
      <c r="N776">
        <v>233379</v>
      </c>
      <c r="O776">
        <v>29</v>
      </c>
      <c r="P776" t="str">
        <f t="shared" si="25"/>
        <v>young</v>
      </c>
      <c r="Q776" t="s">
        <v>1558</v>
      </c>
      <c r="R776" t="s">
        <v>1565</v>
      </c>
      <c r="S776" t="s">
        <v>1567</v>
      </c>
      <c r="T776">
        <v>1466161</v>
      </c>
      <c r="U776">
        <v>4</v>
      </c>
      <c r="V776" t="s">
        <v>1575</v>
      </c>
      <c r="W776" t="s">
        <v>1593</v>
      </c>
      <c r="X776">
        <v>13.18</v>
      </c>
    </row>
    <row r="777" spans="1:24" x14ac:dyDescent="0.25">
      <c r="A777" t="s">
        <v>797</v>
      </c>
      <c r="B777" s="4">
        <v>45999</v>
      </c>
      <c r="C777" s="4" t="str">
        <f t="shared" si="24"/>
        <v>Dec</v>
      </c>
      <c r="D777" t="s">
        <v>1522</v>
      </c>
      <c r="E777" t="s">
        <v>1525</v>
      </c>
      <c r="F777" t="s">
        <v>1535</v>
      </c>
      <c r="G777" t="s">
        <v>1548</v>
      </c>
      <c r="H777" t="s">
        <v>1551</v>
      </c>
      <c r="I777">
        <v>2025</v>
      </c>
      <c r="J777" t="s">
        <v>1554</v>
      </c>
      <c r="K777" t="s">
        <v>1557</v>
      </c>
      <c r="L777">
        <v>890084</v>
      </c>
      <c r="M777">
        <v>813721</v>
      </c>
      <c r="N777">
        <v>76363</v>
      </c>
      <c r="O777">
        <v>27</v>
      </c>
      <c r="P777" t="str">
        <f t="shared" si="25"/>
        <v>young</v>
      </c>
      <c r="Q777" t="s">
        <v>1559</v>
      </c>
      <c r="R777" t="s">
        <v>1563</v>
      </c>
      <c r="S777" t="s">
        <v>1570</v>
      </c>
      <c r="T777">
        <v>1950078</v>
      </c>
      <c r="U777">
        <v>1</v>
      </c>
      <c r="V777" t="s">
        <v>1575</v>
      </c>
      <c r="W777" t="s">
        <v>1593</v>
      </c>
      <c r="X777">
        <v>8.58</v>
      </c>
    </row>
    <row r="778" spans="1:24" x14ac:dyDescent="0.25">
      <c r="A778" t="s">
        <v>798</v>
      </c>
      <c r="B778" s="4">
        <v>45764</v>
      </c>
      <c r="C778" s="4" t="str">
        <f t="shared" si="24"/>
        <v>Apr</v>
      </c>
      <c r="D778" t="s">
        <v>1522</v>
      </c>
      <c r="E778" t="s">
        <v>1526</v>
      </c>
      <c r="F778" t="s">
        <v>1530</v>
      </c>
      <c r="G778" t="s">
        <v>1538</v>
      </c>
      <c r="H778" t="s">
        <v>1550</v>
      </c>
      <c r="I778">
        <v>2024</v>
      </c>
      <c r="J778" t="s">
        <v>1554</v>
      </c>
      <c r="K778" t="s">
        <v>1556</v>
      </c>
      <c r="L778">
        <v>1359026</v>
      </c>
      <c r="M778">
        <v>1095513</v>
      </c>
      <c r="N778">
        <v>263513</v>
      </c>
      <c r="O778">
        <v>62</v>
      </c>
      <c r="P778" t="str">
        <f t="shared" si="25"/>
        <v>senior</v>
      </c>
      <c r="Q778" t="s">
        <v>1558</v>
      </c>
      <c r="R778" t="s">
        <v>1562</v>
      </c>
      <c r="S778" t="s">
        <v>1570</v>
      </c>
      <c r="T778">
        <v>1402707</v>
      </c>
      <c r="U778">
        <v>4</v>
      </c>
      <c r="V778" t="s">
        <v>1573</v>
      </c>
      <c r="W778" t="s">
        <v>1592</v>
      </c>
      <c r="X778">
        <v>19.39</v>
      </c>
    </row>
    <row r="779" spans="1:24" x14ac:dyDescent="0.25">
      <c r="A779" t="s">
        <v>799</v>
      </c>
      <c r="B779" s="4">
        <v>46086</v>
      </c>
      <c r="C779" s="4" t="str">
        <f t="shared" si="24"/>
        <v>Mar</v>
      </c>
      <c r="D779" t="s">
        <v>1522</v>
      </c>
      <c r="E779" t="s">
        <v>1526</v>
      </c>
      <c r="F779" t="s">
        <v>1530</v>
      </c>
      <c r="G779" t="s">
        <v>1546</v>
      </c>
      <c r="H779" t="s">
        <v>1551</v>
      </c>
      <c r="I779">
        <v>2026</v>
      </c>
      <c r="J779" t="s">
        <v>1554</v>
      </c>
      <c r="K779" t="s">
        <v>1557</v>
      </c>
      <c r="L779">
        <v>796999</v>
      </c>
      <c r="M779">
        <v>778750</v>
      </c>
      <c r="N779">
        <v>18249</v>
      </c>
      <c r="O779">
        <v>53</v>
      </c>
      <c r="P779" t="str">
        <f t="shared" si="25"/>
        <v>senior</v>
      </c>
      <c r="Q779" t="s">
        <v>1558</v>
      </c>
      <c r="R779" t="s">
        <v>1561</v>
      </c>
      <c r="S779" t="s">
        <v>1567</v>
      </c>
      <c r="T779">
        <v>1300437</v>
      </c>
      <c r="U779">
        <v>1</v>
      </c>
      <c r="V779" t="s">
        <v>1586</v>
      </c>
      <c r="W779" t="s">
        <v>1591</v>
      </c>
      <c r="X779">
        <v>2.29</v>
      </c>
    </row>
    <row r="780" spans="1:24" x14ac:dyDescent="0.25">
      <c r="A780" t="s">
        <v>800</v>
      </c>
      <c r="B780" s="4">
        <v>46181</v>
      </c>
      <c r="C780" s="4" t="str">
        <f t="shared" si="24"/>
        <v>Jun</v>
      </c>
      <c r="D780" t="s">
        <v>1522</v>
      </c>
      <c r="E780" t="s">
        <v>1524</v>
      </c>
      <c r="F780" t="s">
        <v>1534</v>
      </c>
      <c r="G780" t="s">
        <v>1542</v>
      </c>
      <c r="H780" t="s">
        <v>1550</v>
      </c>
      <c r="I780">
        <v>2026</v>
      </c>
      <c r="J780" t="s">
        <v>1554</v>
      </c>
      <c r="K780" t="s">
        <v>1557</v>
      </c>
      <c r="L780">
        <v>1434131</v>
      </c>
      <c r="M780">
        <v>1187795</v>
      </c>
      <c r="N780">
        <v>246336</v>
      </c>
      <c r="O780">
        <v>37</v>
      </c>
      <c r="P780" t="str">
        <f t="shared" si="25"/>
        <v>adult</v>
      </c>
      <c r="Q780" t="s">
        <v>1558</v>
      </c>
      <c r="R780" t="s">
        <v>1561</v>
      </c>
      <c r="S780" t="s">
        <v>1567</v>
      </c>
      <c r="T780">
        <v>1433615</v>
      </c>
      <c r="U780">
        <v>5</v>
      </c>
      <c r="V780" t="s">
        <v>1582</v>
      </c>
      <c r="W780" t="s">
        <v>1592</v>
      </c>
      <c r="X780">
        <v>17.18</v>
      </c>
    </row>
    <row r="781" spans="1:24" x14ac:dyDescent="0.25">
      <c r="A781" t="s">
        <v>801</v>
      </c>
      <c r="B781" s="4">
        <v>46013</v>
      </c>
      <c r="C781" s="4" t="str">
        <f t="shared" si="24"/>
        <v>Dec</v>
      </c>
      <c r="D781" t="s">
        <v>1522</v>
      </c>
      <c r="E781" t="s">
        <v>1526</v>
      </c>
      <c r="F781" t="s">
        <v>1535</v>
      </c>
      <c r="G781" t="s">
        <v>1539</v>
      </c>
      <c r="H781" t="s">
        <v>1552</v>
      </c>
      <c r="I781">
        <v>2026</v>
      </c>
      <c r="J781" t="s">
        <v>1555</v>
      </c>
      <c r="K781" t="s">
        <v>1556</v>
      </c>
      <c r="L781">
        <v>1982483</v>
      </c>
      <c r="M781">
        <v>1706686</v>
      </c>
      <c r="N781">
        <v>275797</v>
      </c>
      <c r="O781">
        <v>56</v>
      </c>
      <c r="P781" t="str">
        <f t="shared" si="25"/>
        <v>senior</v>
      </c>
      <c r="Q781" t="s">
        <v>1558</v>
      </c>
      <c r="R781" t="s">
        <v>1561</v>
      </c>
      <c r="S781" t="s">
        <v>1570</v>
      </c>
      <c r="T781">
        <v>2158121</v>
      </c>
      <c r="U781">
        <v>4</v>
      </c>
      <c r="V781" t="s">
        <v>1575</v>
      </c>
      <c r="W781" t="s">
        <v>1593</v>
      </c>
      <c r="X781">
        <v>13.91</v>
      </c>
    </row>
    <row r="782" spans="1:24" x14ac:dyDescent="0.25">
      <c r="A782" t="s">
        <v>802</v>
      </c>
      <c r="B782" s="4">
        <v>45881</v>
      </c>
      <c r="C782" s="4" t="str">
        <f t="shared" si="24"/>
        <v>Aug</v>
      </c>
      <c r="D782" t="s">
        <v>1522</v>
      </c>
      <c r="E782" t="s">
        <v>1523</v>
      </c>
      <c r="F782" t="s">
        <v>1534</v>
      </c>
      <c r="G782" t="s">
        <v>1538</v>
      </c>
      <c r="H782" t="s">
        <v>1550</v>
      </c>
      <c r="I782">
        <v>2022</v>
      </c>
      <c r="J782" t="s">
        <v>1554</v>
      </c>
      <c r="K782" t="s">
        <v>1557</v>
      </c>
      <c r="L782">
        <v>1175674</v>
      </c>
      <c r="M782">
        <v>981779</v>
      </c>
      <c r="N782">
        <v>193895</v>
      </c>
      <c r="O782">
        <v>37</v>
      </c>
      <c r="P782" t="str">
        <f t="shared" si="25"/>
        <v>adult</v>
      </c>
      <c r="Q782" t="s">
        <v>1558</v>
      </c>
      <c r="R782" t="s">
        <v>1564</v>
      </c>
      <c r="S782" t="s">
        <v>1569</v>
      </c>
      <c r="T782">
        <v>470819</v>
      </c>
      <c r="U782">
        <v>5</v>
      </c>
      <c r="V782" t="s">
        <v>1585</v>
      </c>
      <c r="W782" t="s">
        <v>1594</v>
      </c>
      <c r="X782">
        <v>16.489999999999998</v>
      </c>
    </row>
    <row r="783" spans="1:24" x14ac:dyDescent="0.25">
      <c r="A783" t="s">
        <v>803</v>
      </c>
      <c r="B783" s="4">
        <v>46057</v>
      </c>
      <c r="C783" s="4" t="str">
        <f t="shared" si="24"/>
        <v>Feb</v>
      </c>
      <c r="D783" t="s">
        <v>1522</v>
      </c>
      <c r="E783" t="s">
        <v>1523</v>
      </c>
      <c r="F783" t="s">
        <v>1528</v>
      </c>
      <c r="G783" t="s">
        <v>1544</v>
      </c>
      <c r="H783" t="s">
        <v>1550</v>
      </c>
      <c r="I783">
        <v>2024</v>
      </c>
      <c r="J783" t="s">
        <v>1554</v>
      </c>
      <c r="K783" t="s">
        <v>1556</v>
      </c>
      <c r="L783">
        <v>1238711</v>
      </c>
      <c r="M783">
        <v>1046677</v>
      </c>
      <c r="N783">
        <v>192034</v>
      </c>
      <c r="O783">
        <v>57</v>
      </c>
      <c r="P783" t="str">
        <f t="shared" si="25"/>
        <v>senior</v>
      </c>
      <c r="Q783" t="s">
        <v>1559</v>
      </c>
      <c r="R783" t="s">
        <v>1563</v>
      </c>
      <c r="S783" t="s">
        <v>1568</v>
      </c>
      <c r="T783">
        <v>1138430</v>
      </c>
      <c r="U783">
        <v>5</v>
      </c>
      <c r="V783" t="s">
        <v>1589</v>
      </c>
      <c r="W783" t="s">
        <v>1591</v>
      </c>
      <c r="X783">
        <v>15.5</v>
      </c>
    </row>
    <row r="784" spans="1:24" x14ac:dyDescent="0.25">
      <c r="A784" t="s">
        <v>804</v>
      </c>
      <c r="B784" s="4">
        <v>46244</v>
      </c>
      <c r="C784" s="4" t="str">
        <f t="shared" si="24"/>
        <v>Aug</v>
      </c>
      <c r="D784" t="s">
        <v>1522</v>
      </c>
      <c r="E784" t="s">
        <v>1525</v>
      </c>
      <c r="F784" t="s">
        <v>1532</v>
      </c>
      <c r="G784" t="s">
        <v>1541</v>
      </c>
      <c r="H784" t="s">
        <v>1550</v>
      </c>
      <c r="I784">
        <v>2026</v>
      </c>
      <c r="J784" t="s">
        <v>1554</v>
      </c>
      <c r="K784" t="s">
        <v>1557</v>
      </c>
      <c r="L784">
        <v>1733847</v>
      </c>
      <c r="M784">
        <v>1501639</v>
      </c>
      <c r="N784">
        <v>232208</v>
      </c>
      <c r="O784">
        <v>58</v>
      </c>
      <c r="P784" t="str">
        <f t="shared" si="25"/>
        <v>senior</v>
      </c>
      <c r="Q784" t="s">
        <v>1559</v>
      </c>
      <c r="R784" t="s">
        <v>1566</v>
      </c>
      <c r="S784" t="s">
        <v>1567</v>
      </c>
      <c r="T784">
        <v>1695827</v>
      </c>
      <c r="U784">
        <v>2</v>
      </c>
      <c r="V784" t="s">
        <v>1576</v>
      </c>
      <c r="W784" t="s">
        <v>1594</v>
      </c>
      <c r="X784">
        <v>13.39</v>
      </c>
    </row>
    <row r="785" spans="1:24" x14ac:dyDescent="0.25">
      <c r="A785" t="s">
        <v>805</v>
      </c>
      <c r="B785" s="4">
        <v>46017</v>
      </c>
      <c r="C785" s="4" t="str">
        <f t="shared" si="24"/>
        <v>Dec</v>
      </c>
      <c r="D785" t="s">
        <v>1522</v>
      </c>
      <c r="E785" t="s">
        <v>1525</v>
      </c>
      <c r="F785" t="s">
        <v>1529</v>
      </c>
      <c r="G785" t="s">
        <v>1540</v>
      </c>
      <c r="H785" t="s">
        <v>1551</v>
      </c>
      <c r="I785">
        <v>2024</v>
      </c>
      <c r="J785" t="s">
        <v>1554</v>
      </c>
      <c r="K785" t="s">
        <v>1557</v>
      </c>
      <c r="L785">
        <v>860500</v>
      </c>
      <c r="M785">
        <v>739520</v>
      </c>
      <c r="N785">
        <v>120980</v>
      </c>
      <c r="O785">
        <v>43</v>
      </c>
      <c r="P785" t="str">
        <f t="shared" si="25"/>
        <v>adult</v>
      </c>
      <c r="Q785" t="s">
        <v>1558</v>
      </c>
      <c r="R785" t="s">
        <v>1563</v>
      </c>
      <c r="S785" t="s">
        <v>1568</v>
      </c>
      <c r="T785">
        <v>859688</v>
      </c>
      <c r="U785">
        <v>1</v>
      </c>
      <c r="V785" t="s">
        <v>1575</v>
      </c>
      <c r="W785" t="s">
        <v>1593</v>
      </c>
      <c r="X785">
        <v>14.06</v>
      </c>
    </row>
    <row r="786" spans="1:24" x14ac:dyDescent="0.25">
      <c r="A786" t="s">
        <v>806</v>
      </c>
      <c r="B786" s="4">
        <v>45832</v>
      </c>
      <c r="C786" s="4" t="str">
        <f t="shared" si="24"/>
        <v>Jun</v>
      </c>
      <c r="D786" t="s">
        <v>1522</v>
      </c>
      <c r="E786" t="s">
        <v>1523</v>
      </c>
      <c r="F786" t="s">
        <v>1533</v>
      </c>
      <c r="G786" t="s">
        <v>1545</v>
      </c>
      <c r="H786" t="s">
        <v>4</v>
      </c>
      <c r="I786">
        <v>2025</v>
      </c>
      <c r="J786" t="s">
        <v>1554</v>
      </c>
      <c r="K786" t="s">
        <v>1557</v>
      </c>
      <c r="L786">
        <v>1294436</v>
      </c>
      <c r="M786">
        <v>1213697</v>
      </c>
      <c r="N786">
        <v>80739</v>
      </c>
      <c r="O786">
        <v>28</v>
      </c>
      <c r="P786" t="str">
        <f t="shared" si="25"/>
        <v>young</v>
      </c>
      <c r="Q786" t="s">
        <v>1558</v>
      </c>
      <c r="R786" t="s">
        <v>1564</v>
      </c>
      <c r="S786" t="s">
        <v>1567</v>
      </c>
      <c r="T786">
        <v>393393</v>
      </c>
      <c r="U786">
        <v>4</v>
      </c>
      <c r="V786" t="s">
        <v>1584</v>
      </c>
      <c r="W786" t="s">
        <v>1592</v>
      </c>
      <c r="X786">
        <v>6.24</v>
      </c>
    </row>
    <row r="787" spans="1:24" x14ac:dyDescent="0.25">
      <c r="A787" t="s">
        <v>807</v>
      </c>
      <c r="B787" s="4">
        <v>45748</v>
      </c>
      <c r="C787" s="4" t="str">
        <f t="shared" si="24"/>
        <v>Apr</v>
      </c>
      <c r="D787" t="s">
        <v>1522</v>
      </c>
      <c r="E787" t="s">
        <v>1525</v>
      </c>
      <c r="F787" t="s">
        <v>1534</v>
      </c>
      <c r="G787" t="s">
        <v>1544</v>
      </c>
      <c r="H787" t="s">
        <v>1550</v>
      </c>
      <c r="I787">
        <v>2025</v>
      </c>
      <c r="J787" t="s">
        <v>1554</v>
      </c>
      <c r="K787" t="s">
        <v>1556</v>
      </c>
      <c r="L787">
        <v>1237542</v>
      </c>
      <c r="M787">
        <v>1098640</v>
      </c>
      <c r="N787">
        <v>138902</v>
      </c>
      <c r="O787">
        <v>36</v>
      </c>
      <c r="P787" t="str">
        <f t="shared" si="25"/>
        <v>adult</v>
      </c>
      <c r="Q787" t="s">
        <v>1558</v>
      </c>
      <c r="R787" t="s">
        <v>1561</v>
      </c>
      <c r="S787" t="s">
        <v>1569</v>
      </c>
      <c r="T787">
        <v>25999</v>
      </c>
      <c r="U787">
        <v>2</v>
      </c>
      <c r="V787" t="s">
        <v>1573</v>
      </c>
      <c r="W787" t="s">
        <v>1592</v>
      </c>
      <c r="X787">
        <v>11.22</v>
      </c>
    </row>
    <row r="788" spans="1:24" x14ac:dyDescent="0.25">
      <c r="A788" t="s">
        <v>808</v>
      </c>
      <c r="B788" s="4">
        <v>45688</v>
      </c>
      <c r="C788" s="4" t="str">
        <f t="shared" si="24"/>
        <v>Jan</v>
      </c>
      <c r="D788" t="s">
        <v>1522</v>
      </c>
      <c r="E788" t="s">
        <v>1527</v>
      </c>
      <c r="F788" t="s">
        <v>1533</v>
      </c>
      <c r="G788" t="s">
        <v>1539</v>
      </c>
      <c r="H788" t="s">
        <v>1550</v>
      </c>
      <c r="I788">
        <v>2025</v>
      </c>
      <c r="J788" t="s">
        <v>1554</v>
      </c>
      <c r="K788" t="s">
        <v>1556</v>
      </c>
      <c r="L788">
        <v>1489970</v>
      </c>
      <c r="M788">
        <v>1206580</v>
      </c>
      <c r="N788">
        <v>283390</v>
      </c>
      <c r="O788">
        <v>58</v>
      </c>
      <c r="P788" t="str">
        <f t="shared" si="25"/>
        <v>senior</v>
      </c>
      <c r="Q788" t="s">
        <v>1558</v>
      </c>
      <c r="R788" t="s">
        <v>1561</v>
      </c>
      <c r="S788" t="s">
        <v>1570</v>
      </c>
      <c r="T788">
        <v>1382168</v>
      </c>
      <c r="U788">
        <v>4</v>
      </c>
      <c r="V788" t="s">
        <v>1571</v>
      </c>
      <c r="W788" t="s">
        <v>1591</v>
      </c>
      <c r="X788">
        <v>19.02</v>
      </c>
    </row>
    <row r="789" spans="1:24" x14ac:dyDescent="0.25">
      <c r="A789" t="s">
        <v>809</v>
      </c>
      <c r="B789" s="4">
        <v>45806</v>
      </c>
      <c r="C789" s="4" t="str">
        <f t="shared" si="24"/>
        <v>May</v>
      </c>
      <c r="D789" t="s">
        <v>1522</v>
      </c>
      <c r="E789" t="s">
        <v>1523</v>
      </c>
      <c r="F789" t="s">
        <v>1533</v>
      </c>
      <c r="G789" t="s">
        <v>1541</v>
      </c>
      <c r="H789" t="s">
        <v>1552</v>
      </c>
      <c r="I789">
        <v>2024</v>
      </c>
      <c r="J789" t="s">
        <v>1555</v>
      </c>
      <c r="K789" t="s">
        <v>1556</v>
      </c>
      <c r="L789">
        <v>1949581</v>
      </c>
      <c r="M789">
        <v>1726393</v>
      </c>
      <c r="N789">
        <v>223188</v>
      </c>
      <c r="O789">
        <v>26</v>
      </c>
      <c r="P789" t="str">
        <f t="shared" si="25"/>
        <v>young</v>
      </c>
      <c r="Q789" t="s">
        <v>1559</v>
      </c>
      <c r="R789" t="s">
        <v>1565</v>
      </c>
      <c r="S789" t="s">
        <v>1568</v>
      </c>
      <c r="T789">
        <v>1168899</v>
      </c>
      <c r="U789">
        <v>2</v>
      </c>
      <c r="V789" t="s">
        <v>1572</v>
      </c>
      <c r="W789" t="s">
        <v>1592</v>
      </c>
      <c r="X789">
        <v>11.45</v>
      </c>
    </row>
    <row r="790" spans="1:24" x14ac:dyDescent="0.25">
      <c r="A790" t="s">
        <v>810</v>
      </c>
      <c r="B790" s="4">
        <v>46040</v>
      </c>
      <c r="C790" s="4" t="str">
        <f t="shared" si="24"/>
        <v>Jan</v>
      </c>
      <c r="D790" t="s">
        <v>1522</v>
      </c>
      <c r="E790" t="s">
        <v>1527</v>
      </c>
      <c r="F790" t="s">
        <v>1529</v>
      </c>
      <c r="G790" t="s">
        <v>1542</v>
      </c>
      <c r="H790" t="s">
        <v>4</v>
      </c>
      <c r="I790">
        <v>2025</v>
      </c>
      <c r="J790" t="s">
        <v>1554</v>
      </c>
      <c r="K790" t="s">
        <v>1556</v>
      </c>
      <c r="L790">
        <v>1604328</v>
      </c>
      <c r="M790">
        <v>1451510</v>
      </c>
      <c r="N790">
        <v>152818</v>
      </c>
      <c r="O790">
        <v>46</v>
      </c>
      <c r="P790" t="str">
        <f t="shared" si="25"/>
        <v>adult</v>
      </c>
      <c r="Q790" t="s">
        <v>1558</v>
      </c>
      <c r="R790" t="s">
        <v>1562</v>
      </c>
      <c r="S790" t="s">
        <v>1568</v>
      </c>
      <c r="T790">
        <v>1012599</v>
      </c>
      <c r="U790">
        <v>4</v>
      </c>
      <c r="V790" t="s">
        <v>1581</v>
      </c>
      <c r="W790" t="s">
        <v>1591</v>
      </c>
      <c r="X790">
        <v>9.5299999999999994</v>
      </c>
    </row>
    <row r="791" spans="1:24" x14ac:dyDescent="0.25">
      <c r="A791" t="s">
        <v>811</v>
      </c>
      <c r="B791" s="4">
        <v>45939</v>
      </c>
      <c r="C791" s="4" t="str">
        <f t="shared" si="24"/>
        <v>Oct</v>
      </c>
      <c r="D791" t="s">
        <v>1522</v>
      </c>
      <c r="E791" t="s">
        <v>1523</v>
      </c>
      <c r="F791" t="s">
        <v>1528</v>
      </c>
      <c r="G791" t="s">
        <v>1549</v>
      </c>
      <c r="H791" t="s">
        <v>1551</v>
      </c>
      <c r="I791">
        <v>2026</v>
      </c>
      <c r="J791" t="s">
        <v>1554</v>
      </c>
      <c r="K791" t="s">
        <v>1556</v>
      </c>
      <c r="L791">
        <v>979766</v>
      </c>
      <c r="M791">
        <v>856395</v>
      </c>
      <c r="N791">
        <v>123371</v>
      </c>
      <c r="O791">
        <v>41</v>
      </c>
      <c r="P791" t="str">
        <f t="shared" si="25"/>
        <v>adult</v>
      </c>
      <c r="Q791" t="s">
        <v>1558</v>
      </c>
      <c r="R791" t="s">
        <v>1564</v>
      </c>
      <c r="S791" t="s">
        <v>1568</v>
      </c>
      <c r="T791">
        <v>77753</v>
      </c>
      <c r="U791">
        <v>3</v>
      </c>
      <c r="V791" t="s">
        <v>1574</v>
      </c>
      <c r="W791" t="s">
        <v>1593</v>
      </c>
      <c r="X791">
        <v>12.59</v>
      </c>
    </row>
    <row r="792" spans="1:24" x14ac:dyDescent="0.25">
      <c r="A792" t="s">
        <v>812</v>
      </c>
      <c r="B792" s="4">
        <v>45857</v>
      </c>
      <c r="C792" s="4" t="str">
        <f t="shared" si="24"/>
        <v>Jul</v>
      </c>
      <c r="D792" t="s">
        <v>1522</v>
      </c>
      <c r="E792" t="s">
        <v>1526</v>
      </c>
      <c r="F792" t="s">
        <v>1528</v>
      </c>
      <c r="G792" t="s">
        <v>1540</v>
      </c>
      <c r="H792" t="s">
        <v>4</v>
      </c>
      <c r="I792">
        <v>2024</v>
      </c>
      <c r="J792" t="s">
        <v>1554</v>
      </c>
      <c r="K792" t="s">
        <v>1556</v>
      </c>
      <c r="L792">
        <v>1677179</v>
      </c>
      <c r="M792">
        <v>1518817</v>
      </c>
      <c r="N792">
        <v>158362</v>
      </c>
      <c r="O792">
        <v>60</v>
      </c>
      <c r="P792" t="str">
        <f t="shared" si="25"/>
        <v>senior</v>
      </c>
      <c r="Q792" t="s">
        <v>1559</v>
      </c>
      <c r="R792" t="s">
        <v>1564</v>
      </c>
      <c r="S792" t="s">
        <v>1570</v>
      </c>
      <c r="T792">
        <v>1797289</v>
      </c>
      <c r="U792">
        <v>4</v>
      </c>
      <c r="V792" t="s">
        <v>1579</v>
      </c>
      <c r="W792" t="s">
        <v>1594</v>
      </c>
      <c r="X792">
        <v>9.44</v>
      </c>
    </row>
    <row r="793" spans="1:24" x14ac:dyDescent="0.25">
      <c r="A793" t="s">
        <v>813</v>
      </c>
      <c r="B793" s="4">
        <v>45818</v>
      </c>
      <c r="C793" s="4" t="str">
        <f t="shared" si="24"/>
        <v>Jun</v>
      </c>
      <c r="D793" t="s">
        <v>1522</v>
      </c>
      <c r="E793" t="s">
        <v>1524</v>
      </c>
      <c r="F793" t="s">
        <v>1531</v>
      </c>
      <c r="G793" t="s">
        <v>1544</v>
      </c>
      <c r="H793" t="s">
        <v>1551</v>
      </c>
      <c r="I793">
        <v>2024</v>
      </c>
      <c r="J793" t="s">
        <v>1554</v>
      </c>
      <c r="K793" t="s">
        <v>1556</v>
      </c>
      <c r="L793">
        <v>922025</v>
      </c>
      <c r="M793">
        <v>848911</v>
      </c>
      <c r="N793">
        <v>73114</v>
      </c>
      <c r="O793">
        <v>26</v>
      </c>
      <c r="P793" t="str">
        <f t="shared" si="25"/>
        <v>young</v>
      </c>
      <c r="Q793" t="s">
        <v>1558</v>
      </c>
      <c r="R793" t="s">
        <v>1566</v>
      </c>
      <c r="S793" t="s">
        <v>1569</v>
      </c>
      <c r="T793">
        <v>1071586</v>
      </c>
      <c r="U793">
        <v>2</v>
      </c>
      <c r="V793" t="s">
        <v>1584</v>
      </c>
      <c r="W793" t="s">
        <v>1592</v>
      </c>
      <c r="X793">
        <v>7.93</v>
      </c>
    </row>
    <row r="794" spans="1:24" x14ac:dyDescent="0.25">
      <c r="A794" t="s">
        <v>814</v>
      </c>
      <c r="B794" s="4">
        <v>46131</v>
      </c>
      <c r="C794" s="4" t="str">
        <f t="shared" si="24"/>
        <v>Apr</v>
      </c>
      <c r="D794" t="s">
        <v>1522</v>
      </c>
      <c r="E794" t="s">
        <v>1526</v>
      </c>
      <c r="F794" t="s">
        <v>1535</v>
      </c>
      <c r="G794" t="s">
        <v>1545</v>
      </c>
      <c r="H794" t="s">
        <v>1551</v>
      </c>
      <c r="I794">
        <v>2025</v>
      </c>
      <c r="J794" t="s">
        <v>1554</v>
      </c>
      <c r="K794" t="s">
        <v>1556</v>
      </c>
      <c r="L794">
        <v>999141</v>
      </c>
      <c r="M794">
        <v>937380</v>
      </c>
      <c r="N794">
        <v>61761</v>
      </c>
      <c r="O794">
        <v>61</v>
      </c>
      <c r="P794" t="str">
        <f t="shared" si="25"/>
        <v>senior</v>
      </c>
      <c r="Q794" t="s">
        <v>1558</v>
      </c>
      <c r="R794" t="s">
        <v>1562</v>
      </c>
      <c r="S794" t="s">
        <v>1567</v>
      </c>
      <c r="T794">
        <v>757720</v>
      </c>
      <c r="U794">
        <v>1</v>
      </c>
      <c r="V794" t="s">
        <v>1580</v>
      </c>
      <c r="W794" t="s">
        <v>1592</v>
      </c>
      <c r="X794">
        <v>6.18</v>
      </c>
    </row>
    <row r="795" spans="1:24" x14ac:dyDescent="0.25">
      <c r="A795" t="s">
        <v>815</v>
      </c>
      <c r="B795" s="4">
        <v>46146</v>
      </c>
      <c r="C795" s="4" t="str">
        <f t="shared" si="24"/>
        <v>May</v>
      </c>
      <c r="D795" t="s">
        <v>1522</v>
      </c>
      <c r="E795" t="s">
        <v>1524</v>
      </c>
      <c r="F795" t="s">
        <v>1532</v>
      </c>
      <c r="G795" t="s">
        <v>1544</v>
      </c>
      <c r="H795" t="s">
        <v>4</v>
      </c>
      <c r="I795">
        <v>2024</v>
      </c>
      <c r="J795" t="s">
        <v>1554</v>
      </c>
      <c r="K795" t="s">
        <v>1556</v>
      </c>
      <c r="L795">
        <v>1357447</v>
      </c>
      <c r="M795">
        <v>1141561</v>
      </c>
      <c r="N795">
        <v>215886</v>
      </c>
      <c r="O795">
        <v>29</v>
      </c>
      <c r="P795" t="str">
        <f t="shared" si="25"/>
        <v>young</v>
      </c>
      <c r="Q795" t="s">
        <v>1558</v>
      </c>
      <c r="R795" t="s">
        <v>1566</v>
      </c>
      <c r="S795" t="s">
        <v>1567</v>
      </c>
      <c r="T795">
        <v>1805845</v>
      </c>
      <c r="U795">
        <v>5</v>
      </c>
      <c r="V795" t="s">
        <v>1590</v>
      </c>
      <c r="W795" t="s">
        <v>1592</v>
      </c>
      <c r="X795">
        <v>15.9</v>
      </c>
    </row>
    <row r="796" spans="1:24" x14ac:dyDescent="0.25">
      <c r="A796" t="s">
        <v>816</v>
      </c>
      <c r="B796" s="4">
        <v>46083</v>
      </c>
      <c r="C796" s="4" t="str">
        <f t="shared" si="24"/>
        <v>Mar</v>
      </c>
      <c r="D796" t="s">
        <v>1522</v>
      </c>
      <c r="E796" t="s">
        <v>1525</v>
      </c>
      <c r="F796" t="s">
        <v>1528</v>
      </c>
      <c r="G796" t="s">
        <v>1545</v>
      </c>
      <c r="H796" t="s">
        <v>1552</v>
      </c>
      <c r="I796">
        <v>2024</v>
      </c>
      <c r="J796" t="s">
        <v>1555</v>
      </c>
      <c r="K796" t="s">
        <v>1556</v>
      </c>
      <c r="L796">
        <v>1889072</v>
      </c>
      <c r="M796">
        <v>1716802</v>
      </c>
      <c r="N796">
        <v>172270</v>
      </c>
      <c r="O796">
        <v>57</v>
      </c>
      <c r="P796" t="str">
        <f t="shared" si="25"/>
        <v>senior</v>
      </c>
      <c r="Q796" t="s">
        <v>1558</v>
      </c>
      <c r="R796" t="s">
        <v>1563</v>
      </c>
      <c r="S796" t="s">
        <v>1567</v>
      </c>
      <c r="T796">
        <v>640518</v>
      </c>
      <c r="U796">
        <v>3</v>
      </c>
      <c r="V796" t="s">
        <v>1586</v>
      </c>
      <c r="W796" t="s">
        <v>1591</v>
      </c>
      <c r="X796">
        <v>9.1199999999999992</v>
      </c>
    </row>
    <row r="797" spans="1:24" x14ac:dyDescent="0.25">
      <c r="A797" t="s">
        <v>817</v>
      </c>
      <c r="B797" s="4">
        <v>45679</v>
      </c>
      <c r="C797" s="4" t="str">
        <f t="shared" si="24"/>
        <v>Jan</v>
      </c>
      <c r="D797" t="s">
        <v>1522</v>
      </c>
      <c r="E797" t="s">
        <v>1526</v>
      </c>
      <c r="F797" t="s">
        <v>1534</v>
      </c>
      <c r="G797" t="s">
        <v>1546</v>
      </c>
      <c r="H797" t="s">
        <v>1550</v>
      </c>
      <c r="I797">
        <v>2024</v>
      </c>
      <c r="J797" t="s">
        <v>1554</v>
      </c>
      <c r="K797" t="s">
        <v>1557</v>
      </c>
      <c r="L797">
        <v>1570955</v>
      </c>
      <c r="M797">
        <v>1353324</v>
      </c>
      <c r="N797">
        <v>217631</v>
      </c>
      <c r="O797">
        <v>33</v>
      </c>
      <c r="P797" t="str">
        <f t="shared" si="25"/>
        <v>adult</v>
      </c>
      <c r="Q797" t="s">
        <v>1559</v>
      </c>
      <c r="R797" t="s">
        <v>1565</v>
      </c>
      <c r="S797" t="s">
        <v>1569</v>
      </c>
      <c r="T797">
        <v>913941</v>
      </c>
      <c r="U797">
        <v>2</v>
      </c>
      <c r="V797" t="s">
        <v>1571</v>
      </c>
      <c r="W797" t="s">
        <v>1591</v>
      </c>
      <c r="X797">
        <v>13.85</v>
      </c>
    </row>
    <row r="798" spans="1:24" x14ac:dyDescent="0.25">
      <c r="A798" t="s">
        <v>818</v>
      </c>
      <c r="B798" s="4">
        <v>46240</v>
      </c>
      <c r="C798" s="4" t="str">
        <f t="shared" si="24"/>
        <v>Aug</v>
      </c>
      <c r="D798" t="s">
        <v>1522</v>
      </c>
      <c r="E798" t="s">
        <v>1523</v>
      </c>
      <c r="F798" t="s">
        <v>1529</v>
      </c>
      <c r="G798" t="s">
        <v>1539</v>
      </c>
      <c r="H798" t="s">
        <v>1551</v>
      </c>
      <c r="I798">
        <v>2026</v>
      </c>
      <c r="J798" t="s">
        <v>1554</v>
      </c>
      <c r="K798" t="s">
        <v>1556</v>
      </c>
      <c r="L798">
        <v>1067060</v>
      </c>
      <c r="M798">
        <v>971442</v>
      </c>
      <c r="N798">
        <v>95618</v>
      </c>
      <c r="O798">
        <v>62</v>
      </c>
      <c r="P798" t="str">
        <f t="shared" si="25"/>
        <v>senior</v>
      </c>
      <c r="Q798" t="s">
        <v>1559</v>
      </c>
      <c r="R798" t="s">
        <v>1564</v>
      </c>
      <c r="S798" t="s">
        <v>1567</v>
      </c>
      <c r="T798">
        <v>1604508</v>
      </c>
      <c r="U798">
        <v>1</v>
      </c>
      <c r="V798" t="s">
        <v>1576</v>
      </c>
      <c r="W798" t="s">
        <v>1594</v>
      </c>
      <c r="X798">
        <v>8.9600000000000009</v>
      </c>
    </row>
    <row r="799" spans="1:24" x14ac:dyDescent="0.25">
      <c r="A799" t="s">
        <v>819</v>
      </c>
      <c r="B799" s="4">
        <v>46234</v>
      </c>
      <c r="C799" s="4" t="str">
        <f t="shared" si="24"/>
        <v>Jul</v>
      </c>
      <c r="D799" t="s">
        <v>1522</v>
      </c>
      <c r="E799" t="s">
        <v>1527</v>
      </c>
      <c r="F799" t="s">
        <v>1536</v>
      </c>
      <c r="G799" t="s">
        <v>1545</v>
      </c>
      <c r="H799" t="s">
        <v>1550</v>
      </c>
      <c r="I799">
        <v>2025</v>
      </c>
      <c r="J799" t="s">
        <v>1554</v>
      </c>
      <c r="K799" t="s">
        <v>1556</v>
      </c>
      <c r="L799">
        <v>1463874</v>
      </c>
      <c r="M799">
        <v>1288423</v>
      </c>
      <c r="N799">
        <v>175451</v>
      </c>
      <c r="O799">
        <v>42</v>
      </c>
      <c r="P799" t="str">
        <f t="shared" si="25"/>
        <v>adult</v>
      </c>
      <c r="Q799" t="s">
        <v>1559</v>
      </c>
      <c r="R799" t="s">
        <v>1563</v>
      </c>
      <c r="S799" t="s">
        <v>1567</v>
      </c>
      <c r="T799">
        <v>1208012</v>
      </c>
      <c r="U799">
        <v>4</v>
      </c>
      <c r="V799" t="s">
        <v>1587</v>
      </c>
      <c r="W799" t="s">
        <v>1594</v>
      </c>
      <c r="X799">
        <v>11.99</v>
      </c>
    </row>
    <row r="800" spans="1:24" x14ac:dyDescent="0.25">
      <c r="A800" t="s">
        <v>820</v>
      </c>
      <c r="B800" s="4">
        <v>46246</v>
      </c>
      <c r="C800" s="4" t="str">
        <f t="shared" si="24"/>
        <v>Aug</v>
      </c>
      <c r="D800" t="s">
        <v>1522</v>
      </c>
      <c r="E800" t="s">
        <v>1527</v>
      </c>
      <c r="F800" t="s">
        <v>1532</v>
      </c>
      <c r="G800" t="s">
        <v>1541</v>
      </c>
      <c r="H800" t="s">
        <v>4</v>
      </c>
      <c r="I800">
        <v>2026</v>
      </c>
      <c r="J800" t="s">
        <v>1554</v>
      </c>
      <c r="K800" t="s">
        <v>1556</v>
      </c>
      <c r="L800">
        <v>1488653</v>
      </c>
      <c r="M800">
        <v>1255104</v>
      </c>
      <c r="N800">
        <v>233549</v>
      </c>
      <c r="O800">
        <v>31</v>
      </c>
      <c r="P800" t="str">
        <f t="shared" si="25"/>
        <v>adult</v>
      </c>
      <c r="Q800" t="s">
        <v>1558</v>
      </c>
      <c r="R800" t="s">
        <v>1564</v>
      </c>
      <c r="S800" t="s">
        <v>1570</v>
      </c>
      <c r="T800">
        <v>2165095</v>
      </c>
      <c r="U800">
        <v>5</v>
      </c>
      <c r="V800" t="s">
        <v>1576</v>
      </c>
      <c r="W800" t="s">
        <v>1594</v>
      </c>
      <c r="X800">
        <v>15.69</v>
      </c>
    </row>
    <row r="801" spans="1:24" x14ac:dyDescent="0.25">
      <c r="A801" t="s">
        <v>821</v>
      </c>
      <c r="B801" s="4">
        <v>46243</v>
      </c>
      <c r="C801" s="4" t="str">
        <f t="shared" si="24"/>
        <v>Aug</v>
      </c>
      <c r="D801" t="s">
        <v>1522</v>
      </c>
      <c r="E801" t="s">
        <v>1524</v>
      </c>
      <c r="F801" t="s">
        <v>1528</v>
      </c>
      <c r="G801" t="s">
        <v>1548</v>
      </c>
      <c r="H801" t="s">
        <v>4</v>
      </c>
      <c r="I801">
        <v>2022</v>
      </c>
      <c r="J801" t="s">
        <v>1553</v>
      </c>
      <c r="K801" t="s">
        <v>1556</v>
      </c>
      <c r="L801">
        <v>1499517</v>
      </c>
      <c r="M801">
        <v>1251222</v>
      </c>
      <c r="N801">
        <v>248295</v>
      </c>
      <c r="O801">
        <v>62</v>
      </c>
      <c r="P801" t="str">
        <f t="shared" si="25"/>
        <v>senior</v>
      </c>
      <c r="Q801" t="s">
        <v>1558</v>
      </c>
      <c r="R801" t="s">
        <v>1565</v>
      </c>
      <c r="S801" t="s">
        <v>1568</v>
      </c>
      <c r="T801">
        <v>1419234</v>
      </c>
      <c r="U801">
        <v>4</v>
      </c>
      <c r="V801" t="s">
        <v>1576</v>
      </c>
      <c r="W801" t="s">
        <v>1594</v>
      </c>
      <c r="X801">
        <v>16.559999999999999</v>
      </c>
    </row>
    <row r="802" spans="1:24" x14ac:dyDescent="0.25">
      <c r="A802" t="s">
        <v>822</v>
      </c>
      <c r="B802" s="4">
        <v>45686</v>
      </c>
      <c r="C802" s="4" t="str">
        <f t="shared" si="24"/>
        <v>Jan</v>
      </c>
      <c r="D802" t="s">
        <v>1522</v>
      </c>
      <c r="E802" t="s">
        <v>1524</v>
      </c>
      <c r="F802" t="s">
        <v>1530</v>
      </c>
      <c r="G802" t="s">
        <v>1547</v>
      </c>
      <c r="H802" t="s">
        <v>1550</v>
      </c>
      <c r="I802">
        <v>2023</v>
      </c>
      <c r="J802" t="s">
        <v>1554</v>
      </c>
      <c r="K802" t="s">
        <v>1556</v>
      </c>
      <c r="L802">
        <v>1533683</v>
      </c>
      <c r="M802">
        <v>1345780</v>
      </c>
      <c r="N802">
        <v>187903</v>
      </c>
      <c r="O802">
        <v>21</v>
      </c>
      <c r="P802" t="str">
        <f t="shared" si="25"/>
        <v>young</v>
      </c>
      <c r="Q802" t="s">
        <v>1558</v>
      </c>
      <c r="R802" t="s">
        <v>1566</v>
      </c>
      <c r="S802" t="s">
        <v>1569</v>
      </c>
      <c r="T802">
        <v>1362137</v>
      </c>
      <c r="U802">
        <v>4</v>
      </c>
      <c r="V802" t="s">
        <v>1571</v>
      </c>
      <c r="W802" t="s">
        <v>1591</v>
      </c>
      <c r="X802">
        <v>12.25</v>
      </c>
    </row>
    <row r="803" spans="1:24" x14ac:dyDescent="0.25">
      <c r="A803" t="s">
        <v>823</v>
      </c>
      <c r="B803" s="4">
        <v>46091</v>
      </c>
      <c r="C803" s="4" t="str">
        <f t="shared" si="24"/>
        <v>Mar</v>
      </c>
      <c r="D803" t="s">
        <v>1522</v>
      </c>
      <c r="E803" t="s">
        <v>1525</v>
      </c>
      <c r="F803" t="s">
        <v>1531</v>
      </c>
      <c r="G803" t="s">
        <v>1544</v>
      </c>
      <c r="H803" t="s">
        <v>1550</v>
      </c>
      <c r="I803">
        <v>2026</v>
      </c>
      <c r="J803" t="s">
        <v>1554</v>
      </c>
      <c r="K803" t="s">
        <v>1557</v>
      </c>
      <c r="L803">
        <v>1625311</v>
      </c>
      <c r="M803">
        <v>1519295</v>
      </c>
      <c r="N803">
        <v>106016</v>
      </c>
      <c r="O803">
        <v>48</v>
      </c>
      <c r="P803" t="str">
        <f t="shared" si="25"/>
        <v>adult</v>
      </c>
      <c r="Q803" t="s">
        <v>1558</v>
      </c>
      <c r="R803" t="s">
        <v>1566</v>
      </c>
      <c r="S803" t="s">
        <v>1567</v>
      </c>
      <c r="T803">
        <v>250967</v>
      </c>
      <c r="U803">
        <v>5</v>
      </c>
      <c r="V803" t="s">
        <v>1586</v>
      </c>
      <c r="W803" t="s">
        <v>1591</v>
      </c>
      <c r="X803">
        <v>6.52</v>
      </c>
    </row>
    <row r="804" spans="1:24" x14ac:dyDescent="0.25">
      <c r="A804" t="s">
        <v>824</v>
      </c>
      <c r="B804" s="4">
        <v>46041</v>
      </c>
      <c r="C804" s="4" t="str">
        <f t="shared" si="24"/>
        <v>Jan</v>
      </c>
      <c r="D804" t="s">
        <v>1522</v>
      </c>
      <c r="E804" t="s">
        <v>1525</v>
      </c>
      <c r="F804" t="s">
        <v>1529</v>
      </c>
      <c r="G804" t="s">
        <v>1547</v>
      </c>
      <c r="H804" t="s">
        <v>1550</v>
      </c>
      <c r="I804">
        <v>2025</v>
      </c>
      <c r="J804" t="s">
        <v>1554</v>
      </c>
      <c r="K804" t="s">
        <v>1556</v>
      </c>
      <c r="L804">
        <v>1186612</v>
      </c>
      <c r="M804">
        <v>985201</v>
      </c>
      <c r="N804">
        <v>201411</v>
      </c>
      <c r="O804">
        <v>46</v>
      </c>
      <c r="P804" t="str">
        <f t="shared" si="25"/>
        <v>adult</v>
      </c>
      <c r="Q804" t="s">
        <v>1558</v>
      </c>
      <c r="R804" t="s">
        <v>1561</v>
      </c>
      <c r="S804" t="s">
        <v>1569</v>
      </c>
      <c r="T804">
        <v>1047366</v>
      </c>
      <c r="U804">
        <v>4</v>
      </c>
      <c r="V804" t="s">
        <v>1581</v>
      </c>
      <c r="W804" t="s">
        <v>1591</v>
      </c>
      <c r="X804">
        <v>16.97</v>
      </c>
    </row>
    <row r="805" spans="1:24" x14ac:dyDescent="0.25">
      <c r="A805" t="s">
        <v>825</v>
      </c>
      <c r="B805" s="4">
        <v>46019</v>
      </c>
      <c r="C805" s="4" t="str">
        <f t="shared" si="24"/>
        <v>Dec</v>
      </c>
      <c r="D805" t="s">
        <v>1522</v>
      </c>
      <c r="E805" t="s">
        <v>1523</v>
      </c>
      <c r="F805" t="s">
        <v>1536</v>
      </c>
      <c r="G805" t="s">
        <v>1547</v>
      </c>
      <c r="H805" t="s">
        <v>1551</v>
      </c>
      <c r="I805">
        <v>2026</v>
      </c>
      <c r="J805" t="s">
        <v>1554</v>
      </c>
      <c r="K805" t="s">
        <v>1557</v>
      </c>
      <c r="L805">
        <v>1040262</v>
      </c>
      <c r="M805">
        <v>882948</v>
      </c>
      <c r="N805">
        <v>157314</v>
      </c>
      <c r="O805">
        <v>28</v>
      </c>
      <c r="P805" t="str">
        <f t="shared" si="25"/>
        <v>young</v>
      </c>
      <c r="Q805" t="s">
        <v>1558</v>
      </c>
      <c r="R805" t="s">
        <v>1566</v>
      </c>
      <c r="S805" t="s">
        <v>1568</v>
      </c>
      <c r="T805">
        <v>53293</v>
      </c>
      <c r="U805">
        <v>1</v>
      </c>
      <c r="V805" t="s">
        <v>1575</v>
      </c>
      <c r="W805" t="s">
        <v>1593</v>
      </c>
      <c r="X805">
        <v>15.12</v>
      </c>
    </row>
    <row r="806" spans="1:24" x14ac:dyDescent="0.25">
      <c r="A806" t="s">
        <v>826</v>
      </c>
      <c r="B806" s="4">
        <v>46259</v>
      </c>
      <c r="C806" s="4" t="str">
        <f t="shared" si="24"/>
        <v>Aug</v>
      </c>
      <c r="D806" t="s">
        <v>1522</v>
      </c>
      <c r="E806" t="s">
        <v>1523</v>
      </c>
      <c r="F806" t="s">
        <v>1535</v>
      </c>
      <c r="G806" t="s">
        <v>1544</v>
      </c>
      <c r="H806" t="s">
        <v>4</v>
      </c>
      <c r="I806">
        <v>2024</v>
      </c>
      <c r="J806" t="s">
        <v>1554</v>
      </c>
      <c r="K806" t="s">
        <v>1556</v>
      </c>
      <c r="L806">
        <v>1292955</v>
      </c>
      <c r="M806">
        <v>1092648</v>
      </c>
      <c r="N806">
        <v>200307</v>
      </c>
      <c r="O806">
        <v>51</v>
      </c>
      <c r="P806" t="str">
        <f t="shared" si="25"/>
        <v>senior</v>
      </c>
      <c r="Q806" t="s">
        <v>1558</v>
      </c>
      <c r="R806" t="s">
        <v>1564</v>
      </c>
      <c r="S806" t="s">
        <v>1570</v>
      </c>
      <c r="T806">
        <v>939557</v>
      </c>
      <c r="U806">
        <v>3</v>
      </c>
      <c r="V806" t="s">
        <v>1576</v>
      </c>
      <c r="W806" t="s">
        <v>1594</v>
      </c>
      <c r="X806">
        <v>15.49</v>
      </c>
    </row>
    <row r="807" spans="1:24" x14ac:dyDescent="0.25">
      <c r="A807" t="s">
        <v>827</v>
      </c>
      <c r="B807" s="4">
        <v>45846</v>
      </c>
      <c r="C807" s="4" t="str">
        <f t="shared" si="24"/>
        <v>Jul</v>
      </c>
      <c r="D807" t="s">
        <v>1522</v>
      </c>
      <c r="E807" t="s">
        <v>1524</v>
      </c>
      <c r="F807" t="s">
        <v>1536</v>
      </c>
      <c r="G807" t="s">
        <v>1548</v>
      </c>
      <c r="H807" t="s">
        <v>1551</v>
      </c>
      <c r="I807">
        <v>2023</v>
      </c>
      <c r="J807" t="s">
        <v>1553</v>
      </c>
      <c r="K807" t="s">
        <v>1556</v>
      </c>
      <c r="L807">
        <v>738445</v>
      </c>
      <c r="M807">
        <v>698705</v>
      </c>
      <c r="N807">
        <v>39740</v>
      </c>
      <c r="O807">
        <v>54</v>
      </c>
      <c r="P807" t="str">
        <f t="shared" si="25"/>
        <v>senior</v>
      </c>
      <c r="Q807" t="s">
        <v>1559</v>
      </c>
      <c r="R807" t="s">
        <v>1566</v>
      </c>
      <c r="S807" t="s">
        <v>1567</v>
      </c>
      <c r="T807">
        <v>583022</v>
      </c>
      <c r="U807">
        <v>1</v>
      </c>
      <c r="V807" t="s">
        <v>1579</v>
      </c>
      <c r="W807" t="s">
        <v>1594</v>
      </c>
      <c r="X807">
        <v>5.38</v>
      </c>
    </row>
    <row r="808" spans="1:24" x14ac:dyDescent="0.25">
      <c r="A808" t="s">
        <v>828</v>
      </c>
      <c r="B808" s="4">
        <v>45700</v>
      </c>
      <c r="C808" s="4" t="str">
        <f t="shared" si="24"/>
        <v>Feb</v>
      </c>
      <c r="D808" t="s">
        <v>1522</v>
      </c>
      <c r="E808" t="s">
        <v>1524</v>
      </c>
      <c r="F808" t="s">
        <v>1534</v>
      </c>
      <c r="G808" t="s">
        <v>1543</v>
      </c>
      <c r="H808" t="s">
        <v>1550</v>
      </c>
      <c r="I808">
        <v>2025</v>
      </c>
      <c r="J808" t="s">
        <v>1554</v>
      </c>
      <c r="K808" t="s">
        <v>1556</v>
      </c>
      <c r="L808">
        <v>1384795</v>
      </c>
      <c r="M808">
        <v>1197365</v>
      </c>
      <c r="N808">
        <v>187430</v>
      </c>
      <c r="O808">
        <v>37</v>
      </c>
      <c r="P808" t="str">
        <f t="shared" si="25"/>
        <v>adult</v>
      </c>
      <c r="Q808" t="s">
        <v>1558</v>
      </c>
      <c r="R808" t="s">
        <v>1563</v>
      </c>
      <c r="S808" t="s">
        <v>1567</v>
      </c>
      <c r="T808">
        <v>1728268</v>
      </c>
      <c r="U808">
        <v>4</v>
      </c>
      <c r="V808" t="s">
        <v>1578</v>
      </c>
      <c r="W808" t="s">
        <v>1591</v>
      </c>
      <c r="X808">
        <v>13.53</v>
      </c>
    </row>
    <row r="809" spans="1:24" x14ac:dyDescent="0.25">
      <c r="A809" t="s">
        <v>829</v>
      </c>
      <c r="B809" s="4">
        <v>45820</v>
      </c>
      <c r="C809" s="4" t="str">
        <f t="shared" si="24"/>
        <v>Jun</v>
      </c>
      <c r="D809" t="s">
        <v>1522</v>
      </c>
      <c r="E809" t="s">
        <v>1524</v>
      </c>
      <c r="F809" t="s">
        <v>1533</v>
      </c>
      <c r="G809" t="s">
        <v>1547</v>
      </c>
      <c r="H809" t="s">
        <v>1550</v>
      </c>
      <c r="I809">
        <v>2023</v>
      </c>
      <c r="J809" t="s">
        <v>1554</v>
      </c>
      <c r="K809" t="s">
        <v>1557</v>
      </c>
      <c r="L809">
        <v>1289193</v>
      </c>
      <c r="M809">
        <v>1056788</v>
      </c>
      <c r="N809">
        <v>232405</v>
      </c>
      <c r="O809">
        <v>50</v>
      </c>
      <c r="P809" t="str">
        <f t="shared" si="25"/>
        <v>adult</v>
      </c>
      <c r="Q809" t="s">
        <v>1558</v>
      </c>
      <c r="R809" t="s">
        <v>1561</v>
      </c>
      <c r="S809" t="s">
        <v>1567</v>
      </c>
      <c r="T809">
        <v>227576</v>
      </c>
      <c r="U809">
        <v>2</v>
      </c>
      <c r="V809" t="s">
        <v>1584</v>
      </c>
      <c r="W809" t="s">
        <v>1592</v>
      </c>
      <c r="X809">
        <v>18.03</v>
      </c>
    </row>
    <row r="810" spans="1:24" x14ac:dyDescent="0.25">
      <c r="A810" t="s">
        <v>830</v>
      </c>
      <c r="B810" s="4">
        <v>46145</v>
      </c>
      <c r="C810" s="4" t="str">
        <f t="shared" si="24"/>
        <v>May</v>
      </c>
      <c r="D810" t="s">
        <v>1522</v>
      </c>
      <c r="E810" t="s">
        <v>1524</v>
      </c>
      <c r="F810" t="s">
        <v>1533</v>
      </c>
      <c r="G810" t="s">
        <v>1546</v>
      </c>
      <c r="H810" t="s">
        <v>1552</v>
      </c>
      <c r="I810">
        <v>2024</v>
      </c>
      <c r="J810" t="s">
        <v>1555</v>
      </c>
      <c r="K810" t="s">
        <v>1556</v>
      </c>
      <c r="L810">
        <v>2022887</v>
      </c>
      <c r="M810">
        <v>1857904</v>
      </c>
      <c r="N810">
        <v>164983</v>
      </c>
      <c r="O810">
        <v>42</v>
      </c>
      <c r="P810" t="str">
        <f t="shared" si="25"/>
        <v>adult</v>
      </c>
      <c r="Q810" t="s">
        <v>1559</v>
      </c>
      <c r="R810" t="s">
        <v>1563</v>
      </c>
      <c r="S810" t="s">
        <v>1567</v>
      </c>
      <c r="T810">
        <v>712759</v>
      </c>
      <c r="U810">
        <v>1</v>
      </c>
      <c r="V810" t="s">
        <v>1590</v>
      </c>
      <c r="W810" t="s">
        <v>1592</v>
      </c>
      <c r="X810">
        <v>8.16</v>
      </c>
    </row>
    <row r="811" spans="1:24" x14ac:dyDescent="0.25">
      <c r="A811" t="s">
        <v>831</v>
      </c>
      <c r="B811" s="4">
        <v>45969</v>
      </c>
      <c r="C811" s="4" t="str">
        <f t="shared" si="24"/>
        <v>Nov</v>
      </c>
      <c r="D811" t="s">
        <v>1522</v>
      </c>
      <c r="E811" t="s">
        <v>1527</v>
      </c>
      <c r="F811" t="s">
        <v>1535</v>
      </c>
      <c r="G811" t="s">
        <v>1543</v>
      </c>
      <c r="H811" t="s">
        <v>1552</v>
      </c>
      <c r="I811">
        <v>2024</v>
      </c>
      <c r="J811" t="s">
        <v>1555</v>
      </c>
      <c r="K811" t="s">
        <v>1556</v>
      </c>
      <c r="L811">
        <v>1946091</v>
      </c>
      <c r="M811">
        <v>1587007</v>
      </c>
      <c r="N811">
        <v>359084</v>
      </c>
      <c r="O811">
        <v>64</v>
      </c>
      <c r="P811" t="str">
        <f t="shared" si="25"/>
        <v>senior</v>
      </c>
      <c r="Q811" t="s">
        <v>1558</v>
      </c>
      <c r="R811" t="s">
        <v>1566</v>
      </c>
      <c r="S811" t="s">
        <v>1569</v>
      </c>
      <c r="T811">
        <v>237428</v>
      </c>
      <c r="U811">
        <v>3</v>
      </c>
      <c r="V811" t="s">
        <v>1583</v>
      </c>
      <c r="W811" t="s">
        <v>1593</v>
      </c>
      <c r="X811">
        <v>18.45</v>
      </c>
    </row>
    <row r="812" spans="1:24" x14ac:dyDescent="0.25">
      <c r="A812" t="s">
        <v>832</v>
      </c>
      <c r="B812" s="4">
        <v>46164</v>
      </c>
      <c r="C812" s="4" t="str">
        <f t="shared" si="24"/>
        <v>May</v>
      </c>
      <c r="D812" t="s">
        <v>1522</v>
      </c>
      <c r="E812" t="s">
        <v>1527</v>
      </c>
      <c r="F812" t="s">
        <v>1533</v>
      </c>
      <c r="G812" t="s">
        <v>1538</v>
      </c>
      <c r="H812" t="s">
        <v>4</v>
      </c>
      <c r="I812">
        <v>2025</v>
      </c>
      <c r="J812" t="s">
        <v>1554</v>
      </c>
      <c r="K812" t="s">
        <v>1557</v>
      </c>
      <c r="L812">
        <v>1381728</v>
      </c>
      <c r="M812">
        <v>1223573</v>
      </c>
      <c r="N812">
        <v>158155</v>
      </c>
      <c r="O812">
        <v>62</v>
      </c>
      <c r="P812" t="str">
        <f t="shared" si="25"/>
        <v>senior</v>
      </c>
      <c r="Q812" t="s">
        <v>1559</v>
      </c>
      <c r="R812" t="s">
        <v>1563</v>
      </c>
      <c r="S812" t="s">
        <v>1570</v>
      </c>
      <c r="T812">
        <v>1524338</v>
      </c>
      <c r="U812">
        <v>2</v>
      </c>
      <c r="V812" t="s">
        <v>1590</v>
      </c>
      <c r="W812" t="s">
        <v>1592</v>
      </c>
      <c r="X812">
        <v>11.45</v>
      </c>
    </row>
    <row r="813" spans="1:24" x14ac:dyDescent="0.25">
      <c r="A813" t="s">
        <v>833</v>
      </c>
      <c r="B813" s="4">
        <v>45971</v>
      </c>
      <c r="C813" s="4" t="str">
        <f t="shared" si="24"/>
        <v>Nov</v>
      </c>
      <c r="D813" t="s">
        <v>1522</v>
      </c>
      <c r="E813" t="s">
        <v>1526</v>
      </c>
      <c r="F813" t="s">
        <v>1532</v>
      </c>
      <c r="G813" t="s">
        <v>1546</v>
      </c>
      <c r="H813" t="s">
        <v>1550</v>
      </c>
      <c r="I813">
        <v>2025</v>
      </c>
      <c r="J813" t="s">
        <v>1554</v>
      </c>
      <c r="K813" t="s">
        <v>1556</v>
      </c>
      <c r="L813">
        <v>1651486</v>
      </c>
      <c r="M813">
        <v>1409780</v>
      </c>
      <c r="N813">
        <v>241706</v>
      </c>
      <c r="O813">
        <v>37</v>
      </c>
      <c r="P813" t="str">
        <f t="shared" si="25"/>
        <v>adult</v>
      </c>
      <c r="Q813" t="s">
        <v>1558</v>
      </c>
      <c r="R813" t="s">
        <v>1561</v>
      </c>
      <c r="S813" t="s">
        <v>1567</v>
      </c>
      <c r="T813">
        <v>1334253</v>
      </c>
      <c r="U813">
        <v>4</v>
      </c>
      <c r="V813" t="s">
        <v>1583</v>
      </c>
      <c r="W813" t="s">
        <v>1593</v>
      </c>
      <c r="X813">
        <v>14.64</v>
      </c>
    </row>
    <row r="814" spans="1:24" x14ac:dyDescent="0.25">
      <c r="A814" t="s">
        <v>834</v>
      </c>
      <c r="B814" s="4">
        <v>45707</v>
      </c>
      <c r="C814" s="4" t="str">
        <f t="shared" si="24"/>
        <v>Feb</v>
      </c>
      <c r="D814" t="s">
        <v>1522</v>
      </c>
      <c r="E814" t="s">
        <v>1525</v>
      </c>
      <c r="F814" t="s">
        <v>1535</v>
      </c>
      <c r="G814" t="s">
        <v>1542</v>
      </c>
      <c r="H814" t="s">
        <v>1552</v>
      </c>
      <c r="I814">
        <v>2025</v>
      </c>
      <c r="J814" t="s">
        <v>1555</v>
      </c>
      <c r="K814" t="s">
        <v>1556</v>
      </c>
      <c r="L814">
        <v>1880119</v>
      </c>
      <c r="M814">
        <v>1753049</v>
      </c>
      <c r="N814">
        <v>127070</v>
      </c>
      <c r="O814">
        <v>58</v>
      </c>
      <c r="P814" t="str">
        <f t="shared" si="25"/>
        <v>senior</v>
      </c>
      <c r="Q814" t="s">
        <v>1559</v>
      </c>
      <c r="R814" t="s">
        <v>1562</v>
      </c>
      <c r="S814" t="s">
        <v>1569</v>
      </c>
      <c r="T814">
        <v>208844</v>
      </c>
      <c r="U814">
        <v>5</v>
      </c>
      <c r="V814" t="s">
        <v>1578</v>
      </c>
      <c r="W814" t="s">
        <v>1591</v>
      </c>
      <c r="X814">
        <v>6.76</v>
      </c>
    </row>
    <row r="815" spans="1:24" x14ac:dyDescent="0.25">
      <c r="A815" t="s">
        <v>835</v>
      </c>
      <c r="B815" s="4">
        <v>46214</v>
      </c>
      <c r="C815" s="4" t="str">
        <f t="shared" si="24"/>
        <v>Jul</v>
      </c>
      <c r="D815" t="s">
        <v>1522</v>
      </c>
      <c r="E815" t="s">
        <v>1525</v>
      </c>
      <c r="F815" t="s">
        <v>1528</v>
      </c>
      <c r="G815" t="s">
        <v>1538</v>
      </c>
      <c r="H815" t="s">
        <v>4</v>
      </c>
      <c r="I815">
        <v>2024</v>
      </c>
      <c r="J815" t="s">
        <v>1554</v>
      </c>
      <c r="K815" t="s">
        <v>1557</v>
      </c>
      <c r="L815">
        <v>1712305</v>
      </c>
      <c r="M815">
        <v>1534540</v>
      </c>
      <c r="N815">
        <v>177765</v>
      </c>
      <c r="O815">
        <v>44</v>
      </c>
      <c r="P815" t="str">
        <f t="shared" si="25"/>
        <v>adult</v>
      </c>
      <c r="Q815" t="s">
        <v>1559</v>
      </c>
      <c r="R815" t="s">
        <v>1563</v>
      </c>
      <c r="S815" t="s">
        <v>1568</v>
      </c>
      <c r="T815">
        <v>2179774</v>
      </c>
      <c r="U815">
        <v>5</v>
      </c>
      <c r="V815" t="s">
        <v>1587</v>
      </c>
      <c r="W815" t="s">
        <v>1594</v>
      </c>
      <c r="X815">
        <v>10.38</v>
      </c>
    </row>
    <row r="816" spans="1:24" x14ac:dyDescent="0.25">
      <c r="A816" t="s">
        <v>836</v>
      </c>
      <c r="B816" s="4">
        <v>46115</v>
      </c>
      <c r="C816" s="4" t="str">
        <f t="shared" si="24"/>
        <v>Apr</v>
      </c>
      <c r="D816" t="s">
        <v>1522</v>
      </c>
      <c r="E816" t="s">
        <v>1527</v>
      </c>
      <c r="F816" t="s">
        <v>1531</v>
      </c>
      <c r="G816" t="s">
        <v>1538</v>
      </c>
      <c r="H816" t="s">
        <v>4</v>
      </c>
      <c r="I816">
        <v>2026</v>
      </c>
      <c r="J816" t="s">
        <v>1554</v>
      </c>
      <c r="K816" t="s">
        <v>1557</v>
      </c>
      <c r="L816">
        <v>1390569</v>
      </c>
      <c r="M816">
        <v>1181338</v>
      </c>
      <c r="N816">
        <v>209231</v>
      </c>
      <c r="O816">
        <v>46</v>
      </c>
      <c r="P816" t="str">
        <f t="shared" si="25"/>
        <v>adult</v>
      </c>
      <c r="Q816" t="s">
        <v>1558</v>
      </c>
      <c r="R816" t="s">
        <v>1565</v>
      </c>
      <c r="S816" t="s">
        <v>1569</v>
      </c>
      <c r="T816">
        <v>1620231</v>
      </c>
      <c r="U816">
        <v>1</v>
      </c>
      <c r="V816" t="s">
        <v>1580</v>
      </c>
      <c r="W816" t="s">
        <v>1592</v>
      </c>
      <c r="X816">
        <v>15.05</v>
      </c>
    </row>
    <row r="817" spans="1:24" x14ac:dyDescent="0.25">
      <c r="A817" t="s">
        <v>837</v>
      </c>
      <c r="B817" s="4">
        <v>45967</v>
      </c>
      <c r="C817" s="4" t="str">
        <f t="shared" si="24"/>
        <v>Nov</v>
      </c>
      <c r="D817" t="s">
        <v>1522</v>
      </c>
      <c r="E817" t="s">
        <v>1524</v>
      </c>
      <c r="F817" t="s">
        <v>1529</v>
      </c>
      <c r="G817" t="s">
        <v>1547</v>
      </c>
      <c r="H817" t="s">
        <v>4</v>
      </c>
      <c r="I817">
        <v>2026</v>
      </c>
      <c r="J817" t="s">
        <v>1554</v>
      </c>
      <c r="K817" t="s">
        <v>1556</v>
      </c>
      <c r="L817">
        <v>1707689</v>
      </c>
      <c r="M817">
        <v>1553949</v>
      </c>
      <c r="N817">
        <v>153740</v>
      </c>
      <c r="O817">
        <v>23</v>
      </c>
      <c r="P817" t="str">
        <f t="shared" si="25"/>
        <v>young</v>
      </c>
      <c r="Q817" t="s">
        <v>1559</v>
      </c>
      <c r="R817" t="s">
        <v>1563</v>
      </c>
      <c r="S817" t="s">
        <v>1567</v>
      </c>
      <c r="T817">
        <v>774647</v>
      </c>
      <c r="U817">
        <v>2</v>
      </c>
      <c r="V817" t="s">
        <v>1583</v>
      </c>
      <c r="W817" t="s">
        <v>1593</v>
      </c>
      <c r="X817">
        <v>9</v>
      </c>
    </row>
    <row r="818" spans="1:24" x14ac:dyDescent="0.25">
      <c r="A818" t="s">
        <v>838</v>
      </c>
      <c r="B818" s="4">
        <v>46141</v>
      </c>
      <c r="C818" s="4" t="str">
        <f t="shared" si="24"/>
        <v>Apr</v>
      </c>
      <c r="D818" t="s">
        <v>1522</v>
      </c>
      <c r="E818" t="s">
        <v>1527</v>
      </c>
      <c r="F818" t="s">
        <v>1530</v>
      </c>
      <c r="G818" t="s">
        <v>1545</v>
      </c>
      <c r="H818" t="s">
        <v>1550</v>
      </c>
      <c r="I818">
        <v>2025</v>
      </c>
      <c r="J818" t="s">
        <v>1554</v>
      </c>
      <c r="K818" t="s">
        <v>1557</v>
      </c>
      <c r="L818">
        <v>1175949</v>
      </c>
      <c r="M818">
        <v>1004794</v>
      </c>
      <c r="N818">
        <v>171155</v>
      </c>
      <c r="O818">
        <v>34</v>
      </c>
      <c r="P818" t="str">
        <f t="shared" si="25"/>
        <v>adult</v>
      </c>
      <c r="Q818" t="s">
        <v>1559</v>
      </c>
      <c r="R818" t="s">
        <v>1563</v>
      </c>
      <c r="S818" t="s">
        <v>1567</v>
      </c>
      <c r="T818">
        <v>1648405</v>
      </c>
      <c r="U818">
        <v>5</v>
      </c>
      <c r="V818" t="s">
        <v>1580</v>
      </c>
      <c r="W818" t="s">
        <v>1592</v>
      </c>
      <c r="X818">
        <v>14.55</v>
      </c>
    </row>
    <row r="819" spans="1:24" x14ac:dyDescent="0.25">
      <c r="A819" t="s">
        <v>839</v>
      </c>
      <c r="B819" s="4">
        <v>45931</v>
      </c>
      <c r="C819" s="4" t="str">
        <f t="shared" si="24"/>
        <v>Oct</v>
      </c>
      <c r="D819" t="s">
        <v>1522</v>
      </c>
      <c r="E819" t="s">
        <v>1525</v>
      </c>
      <c r="F819" t="s">
        <v>1531</v>
      </c>
      <c r="G819" t="s">
        <v>1542</v>
      </c>
      <c r="H819" t="s">
        <v>1550</v>
      </c>
      <c r="I819">
        <v>2025</v>
      </c>
      <c r="J819" t="s">
        <v>1554</v>
      </c>
      <c r="K819" t="s">
        <v>1556</v>
      </c>
      <c r="L819">
        <v>1538539</v>
      </c>
      <c r="M819">
        <v>1230026</v>
      </c>
      <c r="N819">
        <v>308513</v>
      </c>
      <c r="O819">
        <v>54</v>
      </c>
      <c r="P819" t="str">
        <f t="shared" si="25"/>
        <v>senior</v>
      </c>
      <c r="Q819" t="s">
        <v>1559</v>
      </c>
      <c r="R819" t="s">
        <v>1561</v>
      </c>
      <c r="S819" t="s">
        <v>1567</v>
      </c>
      <c r="T819">
        <v>1901044</v>
      </c>
      <c r="U819">
        <v>4</v>
      </c>
      <c r="V819" t="s">
        <v>1574</v>
      </c>
      <c r="W819" t="s">
        <v>1593</v>
      </c>
      <c r="X819">
        <v>20.05</v>
      </c>
    </row>
    <row r="820" spans="1:24" x14ac:dyDescent="0.25">
      <c r="A820" t="s">
        <v>840</v>
      </c>
      <c r="B820" s="4">
        <v>45702</v>
      </c>
      <c r="C820" s="4" t="str">
        <f t="shared" si="24"/>
        <v>Feb</v>
      </c>
      <c r="D820" t="s">
        <v>1522</v>
      </c>
      <c r="E820" t="s">
        <v>1526</v>
      </c>
      <c r="F820" t="s">
        <v>1534</v>
      </c>
      <c r="G820" t="s">
        <v>1542</v>
      </c>
      <c r="H820" t="s">
        <v>4</v>
      </c>
      <c r="I820">
        <v>2022</v>
      </c>
      <c r="J820" t="s">
        <v>1554</v>
      </c>
      <c r="K820" t="s">
        <v>1556</v>
      </c>
      <c r="L820">
        <v>1635955</v>
      </c>
      <c r="M820">
        <v>1466328</v>
      </c>
      <c r="N820">
        <v>169627</v>
      </c>
      <c r="O820">
        <v>52</v>
      </c>
      <c r="P820" t="str">
        <f t="shared" si="25"/>
        <v>senior</v>
      </c>
      <c r="Q820" t="s">
        <v>1558</v>
      </c>
      <c r="R820" t="s">
        <v>1561</v>
      </c>
      <c r="S820" t="s">
        <v>1568</v>
      </c>
      <c r="T820">
        <v>1248552</v>
      </c>
      <c r="U820">
        <v>3</v>
      </c>
      <c r="V820" t="s">
        <v>1578</v>
      </c>
      <c r="W820" t="s">
        <v>1591</v>
      </c>
      <c r="X820">
        <v>10.37</v>
      </c>
    </row>
    <row r="821" spans="1:24" x14ac:dyDescent="0.25">
      <c r="A821" t="s">
        <v>841</v>
      </c>
      <c r="B821" s="4">
        <v>46240</v>
      </c>
      <c r="C821" s="4" t="str">
        <f t="shared" si="24"/>
        <v>Aug</v>
      </c>
      <c r="D821" t="s">
        <v>1522</v>
      </c>
      <c r="E821" t="s">
        <v>1523</v>
      </c>
      <c r="F821" t="s">
        <v>1531</v>
      </c>
      <c r="G821" t="s">
        <v>1549</v>
      </c>
      <c r="H821" t="s">
        <v>1552</v>
      </c>
      <c r="I821">
        <v>2025</v>
      </c>
      <c r="J821" t="s">
        <v>1555</v>
      </c>
      <c r="K821" t="s">
        <v>1556</v>
      </c>
      <c r="L821">
        <v>1865494</v>
      </c>
      <c r="M821">
        <v>1738092</v>
      </c>
      <c r="N821">
        <v>127402</v>
      </c>
      <c r="O821">
        <v>38</v>
      </c>
      <c r="P821" t="str">
        <f t="shared" si="25"/>
        <v>adult</v>
      </c>
      <c r="Q821" t="s">
        <v>1559</v>
      </c>
      <c r="R821" t="s">
        <v>1564</v>
      </c>
      <c r="S821" t="s">
        <v>1569</v>
      </c>
      <c r="T821">
        <v>17073</v>
      </c>
      <c r="U821">
        <v>1</v>
      </c>
      <c r="V821" t="s">
        <v>1576</v>
      </c>
      <c r="W821" t="s">
        <v>1594</v>
      </c>
      <c r="X821">
        <v>6.83</v>
      </c>
    </row>
    <row r="822" spans="1:24" x14ac:dyDescent="0.25">
      <c r="A822" t="s">
        <v>842</v>
      </c>
      <c r="B822" s="4">
        <v>45721</v>
      </c>
      <c r="C822" s="4" t="str">
        <f t="shared" si="24"/>
        <v>Mar</v>
      </c>
      <c r="D822" t="s">
        <v>1522</v>
      </c>
      <c r="E822" t="s">
        <v>1526</v>
      </c>
      <c r="F822" t="s">
        <v>1530</v>
      </c>
      <c r="G822" t="s">
        <v>1543</v>
      </c>
      <c r="H822" t="s">
        <v>4</v>
      </c>
      <c r="I822">
        <v>2025</v>
      </c>
      <c r="J822" t="s">
        <v>1554</v>
      </c>
      <c r="K822" t="s">
        <v>1556</v>
      </c>
      <c r="L822">
        <v>1716302</v>
      </c>
      <c r="M822">
        <v>1615401</v>
      </c>
      <c r="N822">
        <v>100901</v>
      </c>
      <c r="O822">
        <v>61</v>
      </c>
      <c r="P822" t="str">
        <f t="shared" si="25"/>
        <v>senior</v>
      </c>
      <c r="Q822" t="s">
        <v>1558</v>
      </c>
      <c r="R822" t="s">
        <v>1561</v>
      </c>
      <c r="S822" t="s">
        <v>1570</v>
      </c>
      <c r="T822">
        <v>2091796</v>
      </c>
      <c r="U822">
        <v>5</v>
      </c>
      <c r="V822" t="s">
        <v>1588</v>
      </c>
      <c r="W822" t="s">
        <v>1591</v>
      </c>
      <c r="X822">
        <v>5.88</v>
      </c>
    </row>
    <row r="823" spans="1:24" x14ac:dyDescent="0.25">
      <c r="A823" t="s">
        <v>843</v>
      </c>
      <c r="B823" s="4">
        <v>45731</v>
      </c>
      <c r="C823" s="4" t="str">
        <f t="shared" si="24"/>
        <v>Mar</v>
      </c>
      <c r="D823" t="s">
        <v>1522</v>
      </c>
      <c r="E823" t="s">
        <v>1525</v>
      </c>
      <c r="F823" t="s">
        <v>1531</v>
      </c>
      <c r="G823" t="s">
        <v>1548</v>
      </c>
      <c r="H823" t="s">
        <v>1550</v>
      </c>
      <c r="I823">
        <v>2022</v>
      </c>
      <c r="J823" t="s">
        <v>1554</v>
      </c>
      <c r="K823" t="s">
        <v>1556</v>
      </c>
      <c r="L823">
        <v>1490832</v>
      </c>
      <c r="M823">
        <v>1208381</v>
      </c>
      <c r="N823">
        <v>282451</v>
      </c>
      <c r="O823">
        <v>64</v>
      </c>
      <c r="P823" t="str">
        <f t="shared" si="25"/>
        <v>senior</v>
      </c>
      <c r="Q823" t="s">
        <v>1559</v>
      </c>
      <c r="R823" t="s">
        <v>1566</v>
      </c>
      <c r="S823" t="s">
        <v>1570</v>
      </c>
      <c r="T823">
        <v>91072</v>
      </c>
      <c r="U823">
        <v>1</v>
      </c>
      <c r="V823" t="s">
        <v>1588</v>
      </c>
      <c r="W823" t="s">
        <v>1591</v>
      </c>
      <c r="X823">
        <v>18.95</v>
      </c>
    </row>
    <row r="824" spans="1:24" x14ac:dyDescent="0.25">
      <c r="A824" t="s">
        <v>844</v>
      </c>
      <c r="B824" s="4">
        <v>45752</v>
      </c>
      <c r="C824" s="4" t="str">
        <f t="shared" si="24"/>
        <v>Apr</v>
      </c>
      <c r="D824" t="s">
        <v>1522</v>
      </c>
      <c r="E824" t="s">
        <v>1524</v>
      </c>
      <c r="F824" t="s">
        <v>1528</v>
      </c>
      <c r="G824" t="s">
        <v>1549</v>
      </c>
      <c r="H824" t="s">
        <v>4</v>
      </c>
      <c r="I824">
        <v>2023</v>
      </c>
      <c r="J824" t="s">
        <v>1554</v>
      </c>
      <c r="K824" t="s">
        <v>1556</v>
      </c>
      <c r="L824">
        <v>1409880</v>
      </c>
      <c r="M824">
        <v>1288599</v>
      </c>
      <c r="N824">
        <v>121281</v>
      </c>
      <c r="O824">
        <v>35</v>
      </c>
      <c r="P824" t="str">
        <f t="shared" si="25"/>
        <v>adult</v>
      </c>
      <c r="Q824" t="s">
        <v>1558</v>
      </c>
      <c r="R824" t="s">
        <v>1562</v>
      </c>
      <c r="S824" t="s">
        <v>1568</v>
      </c>
      <c r="T824">
        <v>1388322</v>
      </c>
      <c r="U824">
        <v>1</v>
      </c>
      <c r="V824" t="s">
        <v>1573</v>
      </c>
      <c r="W824" t="s">
        <v>1592</v>
      </c>
      <c r="X824">
        <v>8.6</v>
      </c>
    </row>
    <row r="825" spans="1:24" x14ac:dyDescent="0.25">
      <c r="A825" t="s">
        <v>845</v>
      </c>
      <c r="B825" s="4">
        <v>46239</v>
      </c>
      <c r="C825" s="4" t="str">
        <f t="shared" si="24"/>
        <v>Aug</v>
      </c>
      <c r="D825" t="s">
        <v>1522</v>
      </c>
      <c r="E825" t="s">
        <v>1524</v>
      </c>
      <c r="F825" t="s">
        <v>1533</v>
      </c>
      <c r="G825" t="s">
        <v>1538</v>
      </c>
      <c r="H825" t="s">
        <v>1550</v>
      </c>
      <c r="I825">
        <v>2022</v>
      </c>
      <c r="J825" t="s">
        <v>1553</v>
      </c>
      <c r="K825" t="s">
        <v>1557</v>
      </c>
      <c r="L825">
        <v>1556222</v>
      </c>
      <c r="M825">
        <v>1329835</v>
      </c>
      <c r="N825">
        <v>226387</v>
      </c>
      <c r="O825">
        <v>40</v>
      </c>
      <c r="P825" t="str">
        <f t="shared" si="25"/>
        <v>adult</v>
      </c>
      <c r="Q825" t="s">
        <v>1558</v>
      </c>
      <c r="R825" t="s">
        <v>1563</v>
      </c>
      <c r="S825" t="s">
        <v>1570</v>
      </c>
      <c r="T825">
        <v>1172552</v>
      </c>
      <c r="U825">
        <v>3</v>
      </c>
      <c r="V825" t="s">
        <v>1576</v>
      </c>
      <c r="W825" t="s">
        <v>1594</v>
      </c>
      <c r="X825">
        <v>14.55</v>
      </c>
    </row>
    <row r="826" spans="1:24" x14ac:dyDescent="0.25">
      <c r="A826" t="s">
        <v>846</v>
      </c>
      <c r="B826" s="4">
        <v>45723</v>
      </c>
      <c r="C826" s="4" t="str">
        <f t="shared" si="24"/>
        <v>Mar</v>
      </c>
      <c r="D826" t="s">
        <v>1522</v>
      </c>
      <c r="E826" t="s">
        <v>1527</v>
      </c>
      <c r="F826" t="s">
        <v>1534</v>
      </c>
      <c r="G826" t="s">
        <v>1545</v>
      </c>
      <c r="H826" t="s">
        <v>4</v>
      </c>
      <c r="I826">
        <v>2024</v>
      </c>
      <c r="J826" t="s">
        <v>1554</v>
      </c>
      <c r="K826" t="s">
        <v>1556</v>
      </c>
      <c r="L826">
        <v>1367872</v>
      </c>
      <c r="M826">
        <v>1264505</v>
      </c>
      <c r="N826">
        <v>103367</v>
      </c>
      <c r="O826">
        <v>29</v>
      </c>
      <c r="P826" t="str">
        <f t="shared" si="25"/>
        <v>young</v>
      </c>
      <c r="Q826" t="s">
        <v>1559</v>
      </c>
      <c r="R826" t="s">
        <v>1562</v>
      </c>
      <c r="S826" t="s">
        <v>1567</v>
      </c>
      <c r="T826">
        <v>759630</v>
      </c>
      <c r="U826">
        <v>1</v>
      </c>
      <c r="V826" t="s">
        <v>1588</v>
      </c>
      <c r="W826" t="s">
        <v>1591</v>
      </c>
      <c r="X826">
        <v>7.56</v>
      </c>
    </row>
    <row r="827" spans="1:24" x14ac:dyDescent="0.25">
      <c r="A827" t="s">
        <v>847</v>
      </c>
      <c r="B827" s="4">
        <v>45938</v>
      </c>
      <c r="C827" s="4" t="str">
        <f t="shared" si="24"/>
        <v>Oct</v>
      </c>
      <c r="D827" t="s">
        <v>1522</v>
      </c>
      <c r="E827" t="s">
        <v>1527</v>
      </c>
      <c r="F827" t="s">
        <v>1536</v>
      </c>
      <c r="G827" t="s">
        <v>1547</v>
      </c>
      <c r="H827" t="s">
        <v>1551</v>
      </c>
      <c r="I827">
        <v>2025</v>
      </c>
      <c r="J827" t="s">
        <v>1554</v>
      </c>
      <c r="K827" t="s">
        <v>1557</v>
      </c>
      <c r="L827">
        <v>873921</v>
      </c>
      <c r="M827">
        <v>779999</v>
      </c>
      <c r="N827">
        <v>93922</v>
      </c>
      <c r="O827">
        <v>27</v>
      </c>
      <c r="P827" t="str">
        <f t="shared" si="25"/>
        <v>young</v>
      </c>
      <c r="Q827" t="s">
        <v>1558</v>
      </c>
      <c r="R827" t="s">
        <v>1564</v>
      </c>
      <c r="S827" t="s">
        <v>1567</v>
      </c>
      <c r="T827">
        <v>372741</v>
      </c>
      <c r="U827">
        <v>3</v>
      </c>
      <c r="V827" t="s">
        <v>1574</v>
      </c>
      <c r="W827" t="s">
        <v>1593</v>
      </c>
      <c r="X827">
        <v>10.75</v>
      </c>
    </row>
    <row r="828" spans="1:24" x14ac:dyDescent="0.25">
      <c r="A828" t="s">
        <v>848</v>
      </c>
      <c r="B828" s="4">
        <v>46191</v>
      </c>
      <c r="C828" s="4" t="str">
        <f t="shared" si="24"/>
        <v>Jun</v>
      </c>
      <c r="D828" t="s">
        <v>1522</v>
      </c>
      <c r="E828" t="s">
        <v>1525</v>
      </c>
      <c r="F828" t="s">
        <v>1533</v>
      </c>
      <c r="G828" t="s">
        <v>1538</v>
      </c>
      <c r="H828" t="s">
        <v>4</v>
      </c>
      <c r="I828">
        <v>2022</v>
      </c>
      <c r="J828" t="s">
        <v>1554</v>
      </c>
      <c r="K828" t="s">
        <v>1556</v>
      </c>
      <c r="L828">
        <v>1414156</v>
      </c>
      <c r="M828">
        <v>1260658</v>
      </c>
      <c r="N828">
        <v>153498</v>
      </c>
      <c r="O828">
        <v>23</v>
      </c>
      <c r="P828" t="str">
        <f t="shared" si="25"/>
        <v>young</v>
      </c>
      <c r="Q828" t="s">
        <v>1558</v>
      </c>
      <c r="R828" t="s">
        <v>1566</v>
      </c>
      <c r="S828" t="s">
        <v>1570</v>
      </c>
      <c r="T828">
        <v>872160</v>
      </c>
      <c r="U828">
        <v>2</v>
      </c>
      <c r="V828" t="s">
        <v>1582</v>
      </c>
      <c r="W828" t="s">
        <v>1592</v>
      </c>
      <c r="X828">
        <v>10.85</v>
      </c>
    </row>
    <row r="829" spans="1:24" x14ac:dyDescent="0.25">
      <c r="A829" t="s">
        <v>849</v>
      </c>
      <c r="B829" s="4">
        <v>45824</v>
      </c>
      <c r="C829" s="4" t="str">
        <f t="shared" si="24"/>
        <v>Jun</v>
      </c>
      <c r="D829" t="s">
        <v>1522</v>
      </c>
      <c r="E829" t="s">
        <v>1523</v>
      </c>
      <c r="F829" t="s">
        <v>1532</v>
      </c>
      <c r="G829" t="s">
        <v>1545</v>
      </c>
      <c r="H829" t="s">
        <v>1550</v>
      </c>
      <c r="I829">
        <v>2026</v>
      </c>
      <c r="J829" t="s">
        <v>1554</v>
      </c>
      <c r="K829" t="s">
        <v>1556</v>
      </c>
      <c r="L829">
        <v>1605020</v>
      </c>
      <c r="M829">
        <v>1335955</v>
      </c>
      <c r="N829">
        <v>269065</v>
      </c>
      <c r="O829">
        <v>30</v>
      </c>
      <c r="P829" t="str">
        <f t="shared" si="25"/>
        <v>young</v>
      </c>
      <c r="Q829" t="s">
        <v>1559</v>
      </c>
      <c r="R829" t="s">
        <v>1561</v>
      </c>
      <c r="S829" t="s">
        <v>1569</v>
      </c>
      <c r="T829">
        <v>1263849</v>
      </c>
      <c r="U829">
        <v>4</v>
      </c>
      <c r="V829" t="s">
        <v>1584</v>
      </c>
      <c r="W829" t="s">
        <v>1592</v>
      </c>
      <c r="X829">
        <v>16.760000000000002</v>
      </c>
    </row>
    <row r="830" spans="1:24" x14ac:dyDescent="0.25">
      <c r="A830" t="s">
        <v>850</v>
      </c>
      <c r="B830" s="4">
        <v>46018</v>
      </c>
      <c r="C830" s="4" t="str">
        <f t="shared" si="24"/>
        <v>Dec</v>
      </c>
      <c r="D830" t="s">
        <v>1522</v>
      </c>
      <c r="E830" t="s">
        <v>1527</v>
      </c>
      <c r="F830" t="s">
        <v>1534</v>
      </c>
      <c r="G830" t="s">
        <v>1540</v>
      </c>
      <c r="H830" t="s">
        <v>1550</v>
      </c>
      <c r="I830">
        <v>2022</v>
      </c>
      <c r="J830" t="s">
        <v>1554</v>
      </c>
      <c r="K830" t="s">
        <v>1556</v>
      </c>
      <c r="L830">
        <v>1600096</v>
      </c>
      <c r="M830">
        <v>1329430</v>
      </c>
      <c r="N830">
        <v>270666</v>
      </c>
      <c r="O830">
        <v>63</v>
      </c>
      <c r="P830" t="str">
        <f t="shared" si="25"/>
        <v>senior</v>
      </c>
      <c r="Q830" t="s">
        <v>1559</v>
      </c>
      <c r="R830" t="s">
        <v>1562</v>
      </c>
      <c r="S830" t="s">
        <v>1567</v>
      </c>
      <c r="T830">
        <v>1687995</v>
      </c>
      <c r="U830">
        <v>5</v>
      </c>
      <c r="V830" t="s">
        <v>1575</v>
      </c>
      <c r="W830" t="s">
        <v>1593</v>
      </c>
      <c r="X830">
        <v>16.920000000000002</v>
      </c>
    </row>
    <row r="831" spans="1:24" x14ac:dyDescent="0.25">
      <c r="A831" t="s">
        <v>851</v>
      </c>
      <c r="B831" s="4">
        <v>45859</v>
      </c>
      <c r="C831" s="4" t="str">
        <f t="shared" si="24"/>
        <v>Jul</v>
      </c>
      <c r="D831" t="s">
        <v>1522</v>
      </c>
      <c r="E831" t="s">
        <v>1525</v>
      </c>
      <c r="F831" t="s">
        <v>1531</v>
      </c>
      <c r="G831" t="s">
        <v>1547</v>
      </c>
      <c r="H831" t="s">
        <v>4</v>
      </c>
      <c r="I831">
        <v>2023</v>
      </c>
      <c r="J831" t="s">
        <v>1554</v>
      </c>
      <c r="K831" t="s">
        <v>1556</v>
      </c>
      <c r="L831">
        <v>1590752</v>
      </c>
      <c r="M831">
        <v>1307709</v>
      </c>
      <c r="N831">
        <v>283043</v>
      </c>
      <c r="O831">
        <v>22</v>
      </c>
      <c r="P831" t="str">
        <f t="shared" si="25"/>
        <v>young</v>
      </c>
      <c r="Q831" t="s">
        <v>1558</v>
      </c>
      <c r="R831" t="s">
        <v>1563</v>
      </c>
      <c r="S831" t="s">
        <v>1570</v>
      </c>
      <c r="T831">
        <v>690681</v>
      </c>
      <c r="U831">
        <v>3</v>
      </c>
      <c r="V831" t="s">
        <v>1579</v>
      </c>
      <c r="W831" t="s">
        <v>1594</v>
      </c>
      <c r="X831">
        <v>17.79</v>
      </c>
    </row>
    <row r="832" spans="1:24" x14ac:dyDescent="0.25">
      <c r="A832" t="s">
        <v>852</v>
      </c>
      <c r="B832" s="4">
        <v>45836</v>
      </c>
      <c r="C832" s="4" t="str">
        <f t="shared" si="24"/>
        <v>Jun</v>
      </c>
      <c r="D832" t="s">
        <v>1522</v>
      </c>
      <c r="E832" t="s">
        <v>1526</v>
      </c>
      <c r="F832" t="s">
        <v>1535</v>
      </c>
      <c r="G832" t="s">
        <v>1544</v>
      </c>
      <c r="H832" t="s">
        <v>1552</v>
      </c>
      <c r="I832">
        <v>2025</v>
      </c>
      <c r="J832" t="s">
        <v>1555</v>
      </c>
      <c r="K832" t="s">
        <v>1556</v>
      </c>
      <c r="L832">
        <v>1977907</v>
      </c>
      <c r="M832">
        <v>1856028</v>
      </c>
      <c r="N832">
        <v>121879</v>
      </c>
      <c r="O832">
        <v>41</v>
      </c>
      <c r="P832" t="str">
        <f t="shared" si="25"/>
        <v>adult</v>
      </c>
      <c r="Q832" t="s">
        <v>1559</v>
      </c>
      <c r="R832" t="s">
        <v>1565</v>
      </c>
      <c r="S832" t="s">
        <v>1567</v>
      </c>
      <c r="T832">
        <v>1104144</v>
      </c>
      <c r="U832">
        <v>2</v>
      </c>
      <c r="V832" t="s">
        <v>1584</v>
      </c>
      <c r="W832" t="s">
        <v>1592</v>
      </c>
      <c r="X832">
        <v>6.16</v>
      </c>
    </row>
    <row r="833" spans="1:24" x14ac:dyDescent="0.25">
      <c r="A833" t="s">
        <v>853</v>
      </c>
      <c r="B833" s="4">
        <v>45913</v>
      </c>
      <c r="C833" s="4" t="str">
        <f t="shared" si="24"/>
        <v>Sep</v>
      </c>
      <c r="D833" t="s">
        <v>1522</v>
      </c>
      <c r="E833" t="s">
        <v>1527</v>
      </c>
      <c r="F833" t="s">
        <v>1534</v>
      </c>
      <c r="G833" t="s">
        <v>1546</v>
      </c>
      <c r="H833" t="s">
        <v>1551</v>
      </c>
      <c r="I833">
        <v>2025</v>
      </c>
      <c r="J833" t="s">
        <v>1554</v>
      </c>
      <c r="K833" t="s">
        <v>1557</v>
      </c>
      <c r="L833">
        <v>927103</v>
      </c>
      <c r="M833">
        <v>815381</v>
      </c>
      <c r="N833">
        <v>111722</v>
      </c>
      <c r="O833">
        <v>52</v>
      </c>
      <c r="P833" t="str">
        <f t="shared" si="25"/>
        <v>senior</v>
      </c>
      <c r="Q833" t="s">
        <v>1560</v>
      </c>
      <c r="R833" t="s">
        <v>1563</v>
      </c>
      <c r="S833" t="s">
        <v>1569</v>
      </c>
      <c r="T833">
        <v>1320504</v>
      </c>
      <c r="U833">
        <v>4</v>
      </c>
      <c r="V833" t="s">
        <v>1577</v>
      </c>
      <c r="W833" t="s">
        <v>1594</v>
      </c>
      <c r="X833">
        <v>12.05</v>
      </c>
    </row>
    <row r="834" spans="1:24" x14ac:dyDescent="0.25">
      <c r="A834" t="s">
        <v>854</v>
      </c>
      <c r="B834" s="4">
        <v>46203</v>
      </c>
      <c r="C834" s="4" t="str">
        <f t="shared" si="24"/>
        <v>Jun</v>
      </c>
      <c r="D834" t="s">
        <v>1522</v>
      </c>
      <c r="E834" t="s">
        <v>1526</v>
      </c>
      <c r="F834" t="s">
        <v>1537</v>
      </c>
      <c r="G834" t="s">
        <v>1539</v>
      </c>
      <c r="H834" t="s">
        <v>1551</v>
      </c>
      <c r="I834">
        <v>2026</v>
      </c>
      <c r="J834" t="s">
        <v>1554</v>
      </c>
      <c r="K834" t="s">
        <v>1557</v>
      </c>
      <c r="L834">
        <v>866013</v>
      </c>
      <c r="M834">
        <v>768553</v>
      </c>
      <c r="N834">
        <v>97460</v>
      </c>
      <c r="O834">
        <v>23</v>
      </c>
      <c r="P834" t="str">
        <f t="shared" si="25"/>
        <v>young</v>
      </c>
      <c r="Q834" t="s">
        <v>1558</v>
      </c>
      <c r="R834" t="s">
        <v>1565</v>
      </c>
      <c r="S834" t="s">
        <v>1568</v>
      </c>
      <c r="T834">
        <v>326640</v>
      </c>
      <c r="U834">
        <v>2</v>
      </c>
      <c r="V834" t="s">
        <v>1582</v>
      </c>
      <c r="W834" t="s">
        <v>1592</v>
      </c>
      <c r="X834">
        <v>11.25</v>
      </c>
    </row>
    <row r="835" spans="1:24" x14ac:dyDescent="0.25">
      <c r="A835" t="s">
        <v>855</v>
      </c>
      <c r="B835" s="4">
        <v>45954</v>
      </c>
      <c r="C835" s="4" t="str">
        <f t="shared" ref="C835:C898" si="26">TEXT(B835,"MMM")</f>
        <v>Oct</v>
      </c>
      <c r="D835" t="s">
        <v>1522</v>
      </c>
      <c r="E835" t="s">
        <v>1524</v>
      </c>
      <c r="F835" t="s">
        <v>1533</v>
      </c>
      <c r="G835" t="s">
        <v>1547</v>
      </c>
      <c r="H835" t="s">
        <v>4</v>
      </c>
      <c r="I835">
        <v>2026</v>
      </c>
      <c r="J835" t="s">
        <v>1554</v>
      </c>
      <c r="K835" t="s">
        <v>1556</v>
      </c>
      <c r="L835">
        <v>1717984</v>
      </c>
      <c r="M835">
        <v>1435514</v>
      </c>
      <c r="N835">
        <v>282470</v>
      </c>
      <c r="O835">
        <v>50</v>
      </c>
      <c r="P835" t="str">
        <f t="shared" ref="P835:P898" si="27">IF(O835&gt;50,"senior",IF(O835&gt;30,"adult","young"))</f>
        <v>adult</v>
      </c>
      <c r="Q835" t="s">
        <v>1559</v>
      </c>
      <c r="R835" t="s">
        <v>1562</v>
      </c>
      <c r="S835" t="s">
        <v>1570</v>
      </c>
      <c r="T835">
        <v>162494</v>
      </c>
      <c r="U835">
        <v>5</v>
      </c>
      <c r="V835" t="s">
        <v>1574</v>
      </c>
      <c r="W835" t="s">
        <v>1593</v>
      </c>
      <c r="X835">
        <v>16.440000000000001</v>
      </c>
    </row>
    <row r="836" spans="1:24" x14ac:dyDescent="0.25">
      <c r="A836" t="s">
        <v>856</v>
      </c>
      <c r="B836" s="4">
        <v>45973</v>
      </c>
      <c r="C836" s="4" t="str">
        <f t="shared" si="26"/>
        <v>Nov</v>
      </c>
      <c r="D836" t="s">
        <v>1522</v>
      </c>
      <c r="E836" t="s">
        <v>1525</v>
      </c>
      <c r="F836" t="s">
        <v>1531</v>
      </c>
      <c r="G836" t="s">
        <v>1545</v>
      </c>
      <c r="H836" t="s">
        <v>4</v>
      </c>
      <c r="I836">
        <v>2026</v>
      </c>
      <c r="J836" t="s">
        <v>1554</v>
      </c>
      <c r="K836" t="s">
        <v>1557</v>
      </c>
      <c r="L836">
        <v>1518078</v>
      </c>
      <c r="M836">
        <v>1383561</v>
      </c>
      <c r="N836">
        <v>134517</v>
      </c>
      <c r="O836">
        <v>52</v>
      </c>
      <c r="P836" t="str">
        <f t="shared" si="27"/>
        <v>senior</v>
      </c>
      <c r="Q836" t="s">
        <v>1558</v>
      </c>
      <c r="R836" t="s">
        <v>1563</v>
      </c>
      <c r="S836" t="s">
        <v>1567</v>
      </c>
      <c r="T836">
        <v>537286</v>
      </c>
      <c r="U836">
        <v>1</v>
      </c>
      <c r="V836" t="s">
        <v>1583</v>
      </c>
      <c r="W836" t="s">
        <v>1593</v>
      </c>
      <c r="X836">
        <v>8.86</v>
      </c>
    </row>
    <row r="837" spans="1:24" x14ac:dyDescent="0.25">
      <c r="A837" t="s">
        <v>857</v>
      </c>
      <c r="B837" s="4">
        <v>45882</v>
      </c>
      <c r="C837" s="4" t="str">
        <f t="shared" si="26"/>
        <v>Aug</v>
      </c>
      <c r="D837" t="s">
        <v>1522</v>
      </c>
      <c r="E837" t="s">
        <v>1523</v>
      </c>
      <c r="F837" t="s">
        <v>1529</v>
      </c>
      <c r="G837" t="s">
        <v>1542</v>
      </c>
      <c r="H837" t="s">
        <v>4</v>
      </c>
      <c r="I837">
        <v>2025</v>
      </c>
      <c r="J837" t="s">
        <v>1554</v>
      </c>
      <c r="K837" t="s">
        <v>1557</v>
      </c>
      <c r="L837">
        <v>1712303</v>
      </c>
      <c r="M837">
        <v>1541956</v>
      </c>
      <c r="N837">
        <v>170347</v>
      </c>
      <c r="O837">
        <v>59</v>
      </c>
      <c r="P837" t="str">
        <f t="shared" si="27"/>
        <v>senior</v>
      </c>
      <c r="Q837" t="s">
        <v>1559</v>
      </c>
      <c r="R837" t="s">
        <v>1566</v>
      </c>
      <c r="S837" t="s">
        <v>1567</v>
      </c>
      <c r="T837">
        <v>151282</v>
      </c>
      <c r="U837">
        <v>2</v>
      </c>
      <c r="V837" t="s">
        <v>1585</v>
      </c>
      <c r="W837" t="s">
        <v>1594</v>
      </c>
      <c r="X837">
        <v>9.9499999999999993</v>
      </c>
    </row>
    <row r="838" spans="1:24" x14ac:dyDescent="0.25">
      <c r="A838" t="s">
        <v>858</v>
      </c>
      <c r="B838" s="4">
        <v>46054</v>
      </c>
      <c r="C838" s="4" t="str">
        <f t="shared" si="26"/>
        <v>Feb</v>
      </c>
      <c r="D838" t="s">
        <v>1522</v>
      </c>
      <c r="E838" t="s">
        <v>1525</v>
      </c>
      <c r="F838" t="s">
        <v>1531</v>
      </c>
      <c r="G838" t="s">
        <v>1539</v>
      </c>
      <c r="H838" t="s">
        <v>1550</v>
      </c>
      <c r="I838">
        <v>2025</v>
      </c>
      <c r="J838" t="s">
        <v>1554</v>
      </c>
      <c r="K838" t="s">
        <v>1556</v>
      </c>
      <c r="L838">
        <v>1541614</v>
      </c>
      <c r="M838">
        <v>1400776</v>
      </c>
      <c r="N838">
        <v>140838</v>
      </c>
      <c r="O838">
        <v>51</v>
      </c>
      <c r="P838" t="str">
        <f t="shared" si="27"/>
        <v>senior</v>
      </c>
      <c r="Q838" t="s">
        <v>1558</v>
      </c>
      <c r="R838" t="s">
        <v>1565</v>
      </c>
      <c r="S838" t="s">
        <v>1568</v>
      </c>
      <c r="T838">
        <v>690919</v>
      </c>
      <c r="U838">
        <v>3</v>
      </c>
      <c r="V838" t="s">
        <v>1589</v>
      </c>
      <c r="W838" t="s">
        <v>1591</v>
      </c>
      <c r="X838">
        <v>9.14</v>
      </c>
    </row>
    <row r="839" spans="1:24" x14ac:dyDescent="0.25">
      <c r="A839" t="s">
        <v>859</v>
      </c>
      <c r="B839" s="4">
        <v>45927</v>
      </c>
      <c r="C839" s="4" t="str">
        <f t="shared" si="26"/>
        <v>Sep</v>
      </c>
      <c r="D839" t="s">
        <v>1522</v>
      </c>
      <c r="E839" t="s">
        <v>1525</v>
      </c>
      <c r="F839" t="s">
        <v>1531</v>
      </c>
      <c r="G839" t="s">
        <v>1542</v>
      </c>
      <c r="H839" t="s">
        <v>4</v>
      </c>
      <c r="I839">
        <v>2022</v>
      </c>
      <c r="J839" t="s">
        <v>1554</v>
      </c>
      <c r="K839" t="s">
        <v>1556</v>
      </c>
      <c r="L839">
        <v>1707161</v>
      </c>
      <c r="M839">
        <v>1439909</v>
      </c>
      <c r="N839">
        <v>267252</v>
      </c>
      <c r="O839">
        <v>34</v>
      </c>
      <c r="P839" t="str">
        <f t="shared" si="27"/>
        <v>adult</v>
      </c>
      <c r="Q839" t="s">
        <v>1558</v>
      </c>
      <c r="R839" t="s">
        <v>1561</v>
      </c>
      <c r="S839" t="s">
        <v>1570</v>
      </c>
      <c r="T839">
        <v>88089</v>
      </c>
      <c r="U839">
        <v>3</v>
      </c>
      <c r="V839" t="s">
        <v>1577</v>
      </c>
      <c r="W839" t="s">
        <v>1594</v>
      </c>
      <c r="X839">
        <v>15.65</v>
      </c>
    </row>
    <row r="840" spans="1:24" x14ac:dyDescent="0.25">
      <c r="A840" t="s">
        <v>860</v>
      </c>
      <c r="B840" s="4">
        <v>45704</v>
      </c>
      <c r="C840" s="4" t="str">
        <f t="shared" si="26"/>
        <v>Feb</v>
      </c>
      <c r="D840" t="s">
        <v>1522</v>
      </c>
      <c r="E840" t="s">
        <v>1523</v>
      </c>
      <c r="F840" t="s">
        <v>1536</v>
      </c>
      <c r="G840" t="s">
        <v>1543</v>
      </c>
      <c r="H840" t="s">
        <v>1550</v>
      </c>
      <c r="I840">
        <v>2024</v>
      </c>
      <c r="J840" t="s">
        <v>1554</v>
      </c>
      <c r="K840" t="s">
        <v>1556</v>
      </c>
      <c r="L840">
        <v>1732407</v>
      </c>
      <c r="M840">
        <v>1444002</v>
      </c>
      <c r="N840">
        <v>288405</v>
      </c>
      <c r="O840">
        <v>21</v>
      </c>
      <c r="P840" t="str">
        <f t="shared" si="27"/>
        <v>young</v>
      </c>
      <c r="Q840" t="s">
        <v>1559</v>
      </c>
      <c r="R840" t="s">
        <v>1566</v>
      </c>
      <c r="S840" t="s">
        <v>1567</v>
      </c>
      <c r="T840">
        <v>678319</v>
      </c>
      <c r="U840">
        <v>1</v>
      </c>
      <c r="V840" t="s">
        <v>1578</v>
      </c>
      <c r="W840" t="s">
        <v>1591</v>
      </c>
      <c r="X840">
        <v>16.649999999999999</v>
      </c>
    </row>
    <row r="841" spans="1:24" x14ac:dyDescent="0.25">
      <c r="A841" t="s">
        <v>861</v>
      </c>
      <c r="B841" s="4">
        <v>46031</v>
      </c>
      <c r="C841" s="4" t="str">
        <f t="shared" si="26"/>
        <v>Jan</v>
      </c>
      <c r="D841" t="s">
        <v>1522</v>
      </c>
      <c r="E841" t="s">
        <v>1524</v>
      </c>
      <c r="F841" t="s">
        <v>1529</v>
      </c>
      <c r="G841" t="s">
        <v>1547</v>
      </c>
      <c r="H841" t="s">
        <v>1551</v>
      </c>
      <c r="I841">
        <v>2024</v>
      </c>
      <c r="J841" t="s">
        <v>1554</v>
      </c>
      <c r="K841" t="s">
        <v>1557</v>
      </c>
      <c r="L841">
        <v>1061113</v>
      </c>
      <c r="M841">
        <v>978704</v>
      </c>
      <c r="N841">
        <v>82409</v>
      </c>
      <c r="O841">
        <v>27</v>
      </c>
      <c r="P841" t="str">
        <f t="shared" si="27"/>
        <v>young</v>
      </c>
      <c r="Q841" t="s">
        <v>1558</v>
      </c>
      <c r="R841" t="s">
        <v>1563</v>
      </c>
      <c r="S841" t="s">
        <v>1567</v>
      </c>
      <c r="T841">
        <v>1695133</v>
      </c>
      <c r="U841">
        <v>5</v>
      </c>
      <c r="V841" t="s">
        <v>1581</v>
      </c>
      <c r="W841" t="s">
        <v>1591</v>
      </c>
      <c r="X841">
        <v>7.77</v>
      </c>
    </row>
    <row r="842" spans="1:24" x14ac:dyDescent="0.25">
      <c r="A842" t="s">
        <v>862</v>
      </c>
      <c r="B842" s="4">
        <v>46170</v>
      </c>
      <c r="C842" s="4" t="str">
        <f t="shared" si="26"/>
        <v>May</v>
      </c>
      <c r="D842" t="s">
        <v>1522</v>
      </c>
      <c r="E842" t="s">
        <v>1527</v>
      </c>
      <c r="F842" t="s">
        <v>1533</v>
      </c>
      <c r="G842" t="s">
        <v>1542</v>
      </c>
      <c r="H842" t="s">
        <v>1551</v>
      </c>
      <c r="I842">
        <v>2022</v>
      </c>
      <c r="J842" t="s">
        <v>1553</v>
      </c>
      <c r="K842" t="s">
        <v>1556</v>
      </c>
      <c r="L842">
        <v>966144</v>
      </c>
      <c r="M842">
        <v>911936</v>
      </c>
      <c r="N842">
        <v>54208</v>
      </c>
      <c r="O842">
        <v>37</v>
      </c>
      <c r="P842" t="str">
        <f t="shared" si="27"/>
        <v>adult</v>
      </c>
      <c r="Q842" t="s">
        <v>1558</v>
      </c>
      <c r="R842" t="s">
        <v>1566</v>
      </c>
      <c r="S842" t="s">
        <v>1568</v>
      </c>
      <c r="T842">
        <v>930453</v>
      </c>
      <c r="U842">
        <v>1</v>
      </c>
      <c r="V842" t="s">
        <v>1590</v>
      </c>
      <c r="W842" t="s">
        <v>1592</v>
      </c>
      <c r="X842">
        <v>5.61</v>
      </c>
    </row>
    <row r="843" spans="1:24" x14ac:dyDescent="0.25">
      <c r="A843" t="s">
        <v>863</v>
      </c>
      <c r="B843" s="4">
        <v>46169</v>
      </c>
      <c r="C843" s="4" t="str">
        <f t="shared" si="26"/>
        <v>May</v>
      </c>
      <c r="D843" t="s">
        <v>1522</v>
      </c>
      <c r="E843" t="s">
        <v>1526</v>
      </c>
      <c r="F843" t="s">
        <v>1536</v>
      </c>
      <c r="G843" t="s">
        <v>1549</v>
      </c>
      <c r="H843" t="s">
        <v>1551</v>
      </c>
      <c r="I843">
        <v>2025</v>
      </c>
      <c r="J843" t="s">
        <v>1554</v>
      </c>
      <c r="K843" t="s">
        <v>1556</v>
      </c>
      <c r="L843">
        <v>994617</v>
      </c>
      <c r="M843">
        <v>872353</v>
      </c>
      <c r="N843">
        <v>122264</v>
      </c>
      <c r="O843">
        <v>55</v>
      </c>
      <c r="P843" t="str">
        <f t="shared" si="27"/>
        <v>senior</v>
      </c>
      <c r="Q843" t="s">
        <v>1560</v>
      </c>
      <c r="R843" t="s">
        <v>1565</v>
      </c>
      <c r="S843" t="s">
        <v>1567</v>
      </c>
      <c r="T843">
        <v>1114904</v>
      </c>
      <c r="U843">
        <v>2</v>
      </c>
      <c r="V843" t="s">
        <v>1590</v>
      </c>
      <c r="W843" t="s">
        <v>1592</v>
      </c>
      <c r="X843">
        <v>12.29</v>
      </c>
    </row>
    <row r="844" spans="1:24" x14ac:dyDescent="0.25">
      <c r="A844" t="s">
        <v>864</v>
      </c>
      <c r="B844" s="4">
        <v>45717</v>
      </c>
      <c r="C844" s="4" t="str">
        <f t="shared" si="26"/>
        <v>Mar</v>
      </c>
      <c r="D844" t="s">
        <v>1522</v>
      </c>
      <c r="E844" t="s">
        <v>1527</v>
      </c>
      <c r="F844" t="s">
        <v>1533</v>
      </c>
      <c r="G844" t="s">
        <v>1549</v>
      </c>
      <c r="H844" t="s">
        <v>4</v>
      </c>
      <c r="I844">
        <v>2022</v>
      </c>
      <c r="J844" t="s">
        <v>1554</v>
      </c>
      <c r="K844" t="s">
        <v>1557</v>
      </c>
      <c r="L844">
        <v>1424076</v>
      </c>
      <c r="M844">
        <v>1141508</v>
      </c>
      <c r="N844">
        <v>282568</v>
      </c>
      <c r="O844">
        <v>36</v>
      </c>
      <c r="P844" t="str">
        <f t="shared" si="27"/>
        <v>adult</v>
      </c>
      <c r="Q844" t="s">
        <v>1558</v>
      </c>
      <c r="R844" t="s">
        <v>1563</v>
      </c>
      <c r="S844" t="s">
        <v>1567</v>
      </c>
      <c r="T844">
        <v>1109840</v>
      </c>
      <c r="U844">
        <v>3</v>
      </c>
      <c r="V844" t="s">
        <v>1588</v>
      </c>
      <c r="W844" t="s">
        <v>1591</v>
      </c>
      <c r="X844">
        <v>19.84</v>
      </c>
    </row>
    <row r="845" spans="1:24" x14ac:dyDescent="0.25">
      <c r="A845" t="s">
        <v>865</v>
      </c>
      <c r="B845" s="4">
        <v>45831</v>
      </c>
      <c r="C845" s="4" t="str">
        <f t="shared" si="26"/>
        <v>Jun</v>
      </c>
      <c r="D845" t="s">
        <v>1522</v>
      </c>
      <c r="E845" t="s">
        <v>1527</v>
      </c>
      <c r="F845" t="s">
        <v>1530</v>
      </c>
      <c r="G845" t="s">
        <v>1548</v>
      </c>
      <c r="H845" t="s">
        <v>4</v>
      </c>
      <c r="I845">
        <v>2025</v>
      </c>
      <c r="J845" t="s">
        <v>1554</v>
      </c>
      <c r="K845" t="s">
        <v>1556</v>
      </c>
      <c r="L845">
        <v>1682763</v>
      </c>
      <c r="M845">
        <v>1526342</v>
      </c>
      <c r="N845">
        <v>156421</v>
      </c>
      <c r="O845">
        <v>34</v>
      </c>
      <c r="P845" t="str">
        <f t="shared" si="27"/>
        <v>adult</v>
      </c>
      <c r="Q845" t="s">
        <v>1558</v>
      </c>
      <c r="R845" t="s">
        <v>1566</v>
      </c>
      <c r="S845" t="s">
        <v>1568</v>
      </c>
      <c r="T845">
        <v>1659490</v>
      </c>
      <c r="U845">
        <v>2</v>
      </c>
      <c r="V845" t="s">
        <v>1584</v>
      </c>
      <c r="W845" t="s">
        <v>1592</v>
      </c>
      <c r="X845">
        <v>9.3000000000000007</v>
      </c>
    </row>
    <row r="846" spans="1:24" x14ac:dyDescent="0.25">
      <c r="A846" t="s">
        <v>866</v>
      </c>
      <c r="B846" s="4">
        <v>45861</v>
      </c>
      <c r="C846" s="4" t="str">
        <f t="shared" si="26"/>
        <v>Jul</v>
      </c>
      <c r="D846" t="s">
        <v>1522</v>
      </c>
      <c r="E846" t="s">
        <v>1526</v>
      </c>
      <c r="F846" t="s">
        <v>1537</v>
      </c>
      <c r="G846" t="s">
        <v>1544</v>
      </c>
      <c r="H846" t="s">
        <v>1550</v>
      </c>
      <c r="I846">
        <v>2026</v>
      </c>
      <c r="J846" t="s">
        <v>1554</v>
      </c>
      <c r="K846" t="s">
        <v>1556</v>
      </c>
      <c r="L846">
        <v>1631493</v>
      </c>
      <c r="M846">
        <v>1354748</v>
      </c>
      <c r="N846">
        <v>276745</v>
      </c>
      <c r="O846">
        <v>51</v>
      </c>
      <c r="P846" t="str">
        <f t="shared" si="27"/>
        <v>senior</v>
      </c>
      <c r="Q846" t="s">
        <v>1558</v>
      </c>
      <c r="R846" t="s">
        <v>1563</v>
      </c>
      <c r="S846" t="s">
        <v>1567</v>
      </c>
      <c r="T846">
        <v>634353</v>
      </c>
      <c r="U846">
        <v>3</v>
      </c>
      <c r="V846" t="s">
        <v>1579</v>
      </c>
      <c r="W846" t="s">
        <v>1594</v>
      </c>
      <c r="X846">
        <v>16.96</v>
      </c>
    </row>
    <row r="847" spans="1:24" x14ac:dyDescent="0.25">
      <c r="A847" t="s">
        <v>867</v>
      </c>
      <c r="B847" s="4">
        <v>46192</v>
      </c>
      <c r="C847" s="4" t="str">
        <f t="shared" si="26"/>
        <v>Jun</v>
      </c>
      <c r="D847" t="s">
        <v>1522</v>
      </c>
      <c r="E847" t="s">
        <v>1523</v>
      </c>
      <c r="F847" t="s">
        <v>1533</v>
      </c>
      <c r="G847" t="s">
        <v>1541</v>
      </c>
      <c r="H847" t="s">
        <v>1550</v>
      </c>
      <c r="I847">
        <v>2024</v>
      </c>
      <c r="J847" t="s">
        <v>1554</v>
      </c>
      <c r="K847" t="s">
        <v>1557</v>
      </c>
      <c r="L847">
        <v>1382244</v>
      </c>
      <c r="M847">
        <v>1124047</v>
      </c>
      <c r="N847">
        <v>258197</v>
      </c>
      <c r="O847">
        <v>47</v>
      </c>
      <c r="P847" t="str">
        <f t="shared" si="27"/>
        <v>adult</v>
      </c>
      <c r="Q847" t="s">
        <v>1558</v>
      </c>
      <c r="R847" t="s">
        <v>1563</v>
      </c>
      <c r="S847" t="s">
        <v>1570</v>
      </c>
      <c r="T847">
        <v>2092947</v>
      </c>
      <c r="U847">
        <v>1</v>
      </c>
      <c r="V847" t="s">
        <v>1582</v>
      </c>
      <c r="W847" t="s">
        <v>1592</v>
      </c>
      <c r="X847">
        <v>18.68</v>
      </c>
    </row>
    <row r="848" spans="1:24" x14ac:dyDescent="0.25">
      <c r="A848" t="s">
        <v>868</v>
      </c>
      <c r="B848" s="4">
        <v>45769</v>
      </c>
      <c r="C848" s="4" t="str">
        <f t="shared" si="26"/>
        <v>Apr</v>
      </c>
      <c r="D848" t="s">
        <v>1522</v>
      </c>
      <c r="E848" t="s">
        <v>1526</v>
      </c>
      <c r="F848" t="s">
        <v>1537</v>
      </c>
      <c r="G848" t="s">
        <v>1548</v>
      </c>
      <c r="H848" t="s">
        <v>1551</v>
      </c>
      <c r="I848">
        <v>2025</v>
      </c>
      <c r="J848" t="s">
        <v>1554</v>
      </c>
      <c r="K848" t="s">
        <v>1556</v>
      </c>
      <c r="L848">
        <v>777075</v>
      </c>
      <c r="M848">
        <v>729860</v>
      </c>
      <c r="N848">
        <v>47215</v>
      </c>
      <c r="O848">
        <v>62</v>
      </c>
      <c r="P848" t="str">
        <f t="shared" si="27"/>
        <v>senior</v>
      </c>
      <c r="Q848" t="s">
        <v>1559</v>
      </c>
      <c r="R848" t="s">
        <v>1562</v>
      </c>
      <c r="S848" t="s">
        <v>1568</v>
      </c>
      <c r="T848">
        <v>452920</v>
      </c>
      <c r="U848">
        <v>5</v>
      </c>
      <c r="V848" t="s">
        <v>1573</v>
      </c>
      <c r="W848" t="s">
        <v>1592</v>
      </c>
      <c r="X848">
        <v>6.08</v>
      </c>
    </row>
    <row r="849" spans="1:24" x14ac:dyDescent="0.25">
      <c r="A849" t="s">
        <v>869</v>
      </c>
      <c r="B849" s="4">
        <v>45739</v>
      </c>
      <c r="C849" s="4" t="str">
        <f t="shared" si="26"/>
        <v>Mar</v>
      </c>
      <c r="D849" t="s">
        <v>1522</v>
      </c>
      <c r="E849" t="s">
        <v>1525</v>
      </c>
      <c r="F849" t="s">
        <v>1534</v>
      </c>
      <c r="G849" t="s">
        <v>1547</v>
      </c>
      <c r="H849" t="s">
        <v>1551</v>
      </c>
      <c r="I849">
        <v>2022</v>
      </c>
      <c r="J849" t="s">
        <v>1554</v>
      </c>
      <c r="K849" t="s">
        <v>1556</v>
      </c>
      <c r="L849">
        <v>881170</v>
      </c>
      <c r="M849">
        <v>766640</v>
      </c>
      <c r="N849">
        <v>114530</v>
      </c>
      <c r="O849">
        <v>65</v>
      </c>
      <c r="P849" t="str">
        <f t="shared" si="27"/>
        <v>senior</v>
      </c>
      <c r="Q849" t="s">
        <v>1558</v>
      </c>
      <c r="R849" t="s">
        <v>1565</v>
      </c>
      <c r="S849" t="s">
        <v>1567</v>
      </c>
      <c r="T849">
        <v>1699518</v>
      </c>
      <c r="U849">
        <v>3</v>
      </c>
      <c r="V849" t="s">
        <v>1588</v>
      </c>
      <c r="W849" t="s">
        <v>1591</v>
      </c>
      <c r="X849">
        <v>13</v>
      </c>
    </row>
    <row r="850" spans="1:24" x14ac:dyDescent="0.25">
      <c r="A850" t="s">
        <v>870</v>
      </c>
      <c r="B850" s="4">
        <v>46256</v>
      </c>
      <c r="C850" s="4" t="str">
        <f t="shared" si="26"/>
        <v>Aug</v>
      </c>
      <c r="D850" t="s">
        <v>1522</v>
      </c>
      <c r="E850" t="s">
        <v>1524</v>
      </c>
      <c r="F850" t="s">
        <v>1532</v>
      </c>
      <c r="G850" t="s">
        <v>1548</v>
      </c>
      <c r="H850" t="s">
        <v>1550</v>
      </c>
      <c r="I850">
        <v>2024</v>
      </c>
      <c r="J850" t="s">
        <v>1554</v>
      </c>
      <c r="K850" t="s">
        <v>1557</v>
      </c>
      <c r="L850">
        <v>1401968</v>
      </c>
      <c r="M850">
        <v>1212693</v>
      </c>
      <c r="N850">
        <v>189275</v>
      </c>
      <c r="O850">
        <v>31</v>
      </c>
      <c r="P850" t="str">
        <f t="shared" si="27"/>
        <v>adult</v>
      </c>
      <c r="Q850" t="s">
        <v>1558</v>
      </c>
      <c r="R850" t="s">
        <v>1561</v>
      </c>
      <c r="S850" t="s">
        <v>1567</v>
      </c>
      <c r="T850">
        <v>1536401</v>
      </c>
      <c r="U850">
        <v>4</v>
      </c>
      <c r="V850" t="s">
        <v>1576</v>
      </c>
      <c r="W850" t="s">
        <v>1594</v>
      </c>
      <c r="X850">
        <v>13.5</v>
      </c>
    </row>
    <row r="851" spans="1:24" x14ac:dyDescent="0.25">
      <c r="A851" t="s">
        <v>871</v>
      </c>
      <c r="B851" s="4">
        <v>45919</v>
      </c>
      <c r="C851" s="4" t="str">
        <f t="shared" si="26"/>
        <v>Sep</v>
      </c>
      <c r="D851" t="s">
        <v>1522</v>
      </c>
      <c r="E851" t="s">
        <v>1525</v>
      </c>
      <c r="F851" t="s">
        <v>1535</v>
      </c>
      <c r="G851" t="s">
        <v>1538</v>
      </c>
      <c r="H851" t="s">
        <v>4</v>
      </c>
      <c r="I851">
        <v>2023</v>
      </c>
      <c r="J851" t="s">
        <v>1553</v>
      </c>
      <c r="K851" t="s">
        <v>1556</v>
      </c>
      <c r="L851">
        <v>1294258</v>
      </c>
      <c r="M851">
        <v>1086072</v>
      </c>
      <c r="N851">
        <v>208186</v>
      </c>
      <c r="O851">
        <v>48</v>
      </c>
      <c r="P851" t="str">
        <f t="shared" si="27"/>
        <v>adult</v>
      </c>
      <c r="Q851" t="s">
        <v>1558</v>
      </c>
      <c r="R851" t="s">
        <v>1561</v>
      </c>
      <c r="S851" t="s">
        <v>1568</v>
      </c>
      <c r="T851">
        <v>1232936</v>
      </c>
      <c r="U851">
        <v>5</v>
      </c>
      <c r="V851" t="s">
        <v>1577</v>
      </c>
      <c r="W851" t="s">
        <v>1594</v>
      </c>
      <c r="X851">
        <v>16.09</v>
      </c>
    </row>
    <row r="852" spans="1:24" x14ac:dyDescent="0.25">
      <c r="A852" t="s">
        <v>872</v>
      </c>
      <c r="B852" s="4">
        <v>45884</v>
      </c>
      <c r="C852" s="4" t="str">
        <f t="shared" si="26"/>
        <v>Aug</v>
      </c>
      <c r="D852" t="s">
        <v>1522</v>
      </c>
      <c r="E852" t="s">
        <v>1523</v>
      </c>
      <c r="F852" t="s">
        <v>1537</v>
      </c>
      <c r="G852" t="s">
        <v>1542</v>
      </c>
      <c r="H852" t="s">
        <v>1551</v>
      </c>
      <c r="I852">
        <v>2024</v>
      </c>
      <c r="J852" t="s">
        <v>1554</v>
      </c>
      <c r="K852" t="s">
        <v>1556</v>
      </c>
      <c r="L852">
        <v>1002688</v>
      </c>
      <c r="M852">
        <v>920741</v>
      </c>
      <c r="N852">
        <v>81947</v>
      </c>
      <c r="O852">
        <v>57</v>
      </c>
      <c r="P852" t="str">
        <f t="shared" si="27"/>
        <v>senior</v>
      </c>
      <c r="Q852" t="s">
        <v>1559</v>
      </c>
      <c r="R852" t="s">
        <v>1566</v>
      </c>
      <c r="S852" t="s">
        <v>1568</v>
      </c>
      <c r="T852">
        <v>1160711</v>
      </c>
      <c r="U852">
        <v>3</v>
      </c>
      <c r="V852" t="s">
        <v>1585</v>
      </c>
      <c r="W852" t="s">
        <v>1594</v>
      </c>
      <c r="X852">
        <v>8.17</v>
      </c>
    </row>
    <row r="853" spans="1:24" x14ac:dyDescent="0.25">
      <c r="A853" t="s">
        <v>873</v>
      </c>
      <c r="B853" s="4">
        <v>46220</v>
      </c>
      <c r="C853" s="4" t="str">
        <f t="shared" si="26"/>
        <v>Jul</v>
      </c>
      <c r="D853" t="s">
        <v>1522</v>
      </c>
      <c r="E853" t="s">
        <v>1527</v>
      </c>
      <c r="F853" t="s">
        <v>1532</v>
      </c>
      <c r="G853" t="s">
        <v>1542</v>
      </c>
      <c r="H853" t="s">
        <v>1552</v>
      </c>
      <c r="I853">
        <v>2022</v>
      </c>
      <c r="J853" t="s">
        <v>1555</v>
      </c>
      <c r="K853" t="s">
        <v>1556</v>
      </c>
      <c r="L853">
        <v>1883677</v>
      </c>
      <c r="M853">
        <v>1702929</v>
      </c>
      <c r="N853">
        <v>180748</v>
      </c>
      <c r="O853">
        <v>42</v>
      </c>
      <c r="P853" t="str">
        <f t="shared" si="27"/>
        <v>adult</v>
      </c>
      <c r="Q853" t="s">
        <v>1558</v>
      </c>
      <c r="R853" t="s">
        <v>1564</v>
      </c>
      <c r="S853" t="s">
        <v>1570</v>
      </c>
      <c r="T853">
        <v>854137</v>
      </c>
      <c r="U853">
        <v>4</v>
      </c>
      <c r="V853" t="s">
        <v>1587</v>
      </c>
      <c r="W853" t="s">
        <v>1594</v>
      </c>
      <c r="X853">
        <v>9.6</v>
      </c>
    </row>
    <row r="854" spans="1:24" x14ac:dyDescent="0.25">
      <c r="A854" t="s">
        <v>874</v>
      </c>
      <c r="B854" s="4">
        <v>46162</v>
      </c>
      <c r="C854" s="4" t="str">
        <f t="shared" si="26"/>
        <v>May</v>
      </c>
      <c r="D854" t="s">
        <v>1522</v>
      </c>
      <c r="E854" t="s">
        <v>1527</v>
      </c>
      <c r="F854" t="s">
        <v>1537</v>
      </c>
      <c r="G854" t="s">
        <v>1540</v>
      </c>
      <c r="H854" t="s">
        <v>1551</v>
      </c>
      <c r="I854">
        <v>2025</v>
      </c>
      <c r="J854" t="s">
        <v>1554</v>
      </c>
      <c r="K854" t="s">
        <v>1556</v>
      </c>
      <c r="L854">
        <v>722456</v>
      </c>
      <c r="M854">
        <v>671797</v>
      </c>
      <c r="N854">
        <v>50659</v>
      </c>
      <c r="O854">
        <v>62</v>
      </c>
      <c r="P854" t="str">
        <f t="shared" si="27"/>
        <v>senior</v>
      </c>
      <c r="Q854" t="s">
        <v>1558</v>
      </c>
      <c r="R854" t="s">
        <v>1563</v>
      </c>
      <c r="S854" t="s">
        <v>1567</v>
      </c>
      <c r="T854">
        <v>1718925</v>
      </c>
      <c r="U854">
        <v>5</v>
      </c>
      <c r="V854" t="s">
        <v>1590</v>
      </c>
      <c r="W854" t="s">
        <v>1592</v>
      </c>
      <c r="X854">
        <v>7.01</v>
      </c>
    </row>
    <row r="855" spans="1:24" x14ac:dyDescent="0.25">
      <c r="A855" t="s">
        <v>875</v>
      </c>
      <c r="B855" s="4">
        <v>46127</v>
      </c>
      <c r="C855" s="4" t="str">
        <f t="shared" si="26"/>
        <v>Apr</v>
      </c>
      <c r="D855" t="s">
        <v>1522</v>
      </c>
      <c r="E855" t="s">
        <v>1525</v>
      </c>
      <c r="F855" t="s">
        <v>1528</v>
      </c>
      <c r="G855" t="s">
        <v>1541</v>
      </c>
      <c r="H855" t="s">
        <v>4</v>
      </c>
      <c r="I855">
        <v>2025</v>
      </c>
      <c r="J855" t="s">
        <v>1554</v>
      </c>
      <c r="K855" t="s">
        <v>1557</v>
      </c>
      <c r="L855">
        <v>1542491</v>
      </c>
      <c r="M855">
        <v>1288526</v>
      </c>
      <c r="N855">
        <v>253965</v>
      </c>
      <c r="O855">
        <v>21</v>
      </c>
      <c r="P855" t="str">
        <f t="shared" si="27"/>
        <v>young</v>
      </c>
      <c r="Q855" t="s">
        <v>1558</v>
      </c>
      <c r="R855" t="s">
        <v>1564</v>
      </c>
      <c r="S855" t="s">
        <v>1567</v>
      </c>
      <c r="T855">
        <v>1825280</v>
      </c>
      <c r="U855">
        <v>1</v>
      </c>
      <c r="V855" t="s">
        <v>1580</v>
      </c>
      <c r="W855" t="s">
        <v>1592</v>
      </c>
      <c r="X855">
        <v>16.46</v>
      </c>
    </row>
    <row r="856" spans="1:24" x14ac:dyDescent="0.25">
      <c r="A856" t="s">
        <v>876</v>
      </c>
      <c r="B856" s="4">
        <v>45969</v>
      </c>
      <c r="C856" s="4" t="str">
        <f t="shared" si="26"/>
        <v>Nov</v>
      </c>
      <c r="D856" t="s">
        <v>1522</v>
      </c>
      <c r="E856" t="s">
        <v>1525</v>
      </c>
      <c r="F856" t="s">
        <v>1533</v>
      </c>
      <c r="G856" t="s">
        <v>1548</v>
      </c>
      <c r="H856" t="s">
        <v>4</v>
      </c>
      <c r="I856">
        <v>2025</v>
      </c>
      <c r="J856" t="s">
        <v>1554</v>
      </c>
      <c r="K856" t="s">
        <v>1557</v>
      </c>
      <c r="L856">
        <v>1401447</v>
      </c>
      <c r="M856">
        <v>1226406</v>
      </c>
      <c r="N856">
        <v>175041</v>
      </c>
      <c r="O856">
        <v>64</v>
      </c>
      <c r="P856" t="str">
        <f t="shared" si="27"/>
        <v>senior</v>
      </c>
      <c r="Q856" t="s">
        <v>1558</v>
      </c>
      <c r="R856" t="s">
        <v>1561</v>
      </c>
      <c r="S856" t="s">
        <v>1567</v>
      </c>
      <c r="T856">
        <v>1043513</v>
      </c>
      <c r="U856">
        <v>1</v>
      </c>
      <c r="V856" t="s">
        <v>1583</v>
      </c>
      <c r="W856" t="s">
        <v>1593</v>
      </c>
      <c r="X856">
        <v>12.49</v>
      </c>
    </row>
    <row r="857" spans="1:24" x14ac:dyDescent="0.25">
      <c r="A857" t="s">
        <v>877</v>
      </c>
      <c r="B857" s="4">
        <v>46177</v>
      </c>
      <c r="C857" s="4" t="str">
        <f t="shared" si="26"/>
        <v>Jun</v>
      </c>
      <c r="D857" t="s">
        <v>1522</v>
      </c>
      <c r="E857" t="s">
        <v>1525</v>
      </c>
      <c r="F857" t="s">
        <v>1528</v>
      </c>
      <c r="G857" t="s">
        <v>1543</v>
      </c>
      <c r="H857" t="s">
        <v>1551</v>
      </c>
      <c r="I857">
        <v>2026</v>
      </c>
      <c r="J857" t="s">
        <v>1554</v>
      </c>
      <c r="K857" t="s">
        <v>1556</v>
      </c>
      <c r="L857">
        <v>729434</v>
      </c>
      <c r="M857">
        <v>714434</v>
      </c>
      <c r="N857">
        <v>15000</v>
      </c>
      <c r="O857">
        <v>40</v>
      </c>
      <c r="P857" t="str">
        <f t="shared" si="27"/>
        <v>adult</v>
      </c>
      <c r="Q857" t="s">
        <v>1558</v>
      </c>
      <c r="R857" t="s">
        <v>1565</v>
      </c>
      <c r="S857" t="s">
        <v>1569</v>
      </c>
      <c r="T857">
        <v>1606869</v>
      </c>
      <c r="U857">
        <v>3</v>
      </c>
      <c r="V857" t="s">
        <v>1582</v>
      </c>
      <c r="W857" t="s">
        <v>1592</v>
      </c>
      <c r="X857">
        <v>2.06</v>
      </c>
    </row>
    <row r="858" spans="1:24" x14ac:dyDescent="0.25">
      <c r="A858" t="s">
        <v>878</v>
      </c>
      <c r="B858" s="4">
        <v>45762</v>
      </c>
      <c r="C858" s="4" t="str">
        <f t="shared" si="26"/>
        <v>Apr</v>
      </c>
      <c r="D858" t="s">
        <v>1522</v>
      </c>
      <c r="E858" t="s">
        <v>1525</v>
      </c>
      <c r="F858" t="s">
        <v>1535</v>
      </c>
      <c r="G858" t="s">
        <v>1547</v>
      </c>
      <c r="H858" t="s">
        <v>1550</v>
      </c>
      <c r="I858">
        <v>2026</v>
      </c>
      <c r="J858" t="s">
        <v>1554</v>
      </c>
      <c r="K858" t="s">
        <v>1556</v>
      </c>
      <c r="L858">
        <v>1470899</v>
      </c>
      <c r="M858">
        <v>1351831</v>
      </c>
      <c r="N858">
        <v>119068</v>
      </c>
      <c r="O858">
        <v>43</v>
      </c>
      <c r="P858" t="str">
        <f t="shared" si="27"/>
        <v>adult</v>
      </c>
      <c r="Q858" t="s">
        <v>1559</v>
      </c>
      <c r="R858" t="s">
        <v>1564</v>
      </c>
      <c r="S858" t="s">
        <v>1568</v>
      </c>
      <c r="T858">
        <v>1194267</v>
      </c>
      <c r="U858">
        <v>4</v>
      </c>
      <c r="V858" t="s">
        <v>1573</v>
      </c>
      <c r="W858" t="s">
        <v>1592</v>
      </c>
      <c r="X858">
        <v>8.09</v>
      </c>
    </row>
    <row r="859" spans="1:24" x14ac:dyDescent="0.25">
      <c r="A859" t="s">
        <v>879</v>
      </c>
      <c r="B859" s="4">
        <v>46056</v>
      </c>
      <c r="C859" s="4" t="str">
        <f t="shared" si="26"/>
        <v>Feb</v>
      </c>
      <c r="D859" t="s">
        <v>1522</v>
      </c>
      <c r="E859" t="s">
        <v>1525</v>
      </c>
      <c r="F859" t="s">
        <v>1531</v>
      </c>
      <c r="G859" t="s">
        <v>1545</v>
      </c>
      <c r="H859" t="s">
        <v>1550</v>
      </c>
      <c r="I859">
        <v>2025</v>
      </c>
      <c r="J859" t="s">
        <v>1554</v>
      </c>
      <c r="K859" t="s">
        <v>1557</v>
      </c>
      <c r="L859">
        <v>1287593</v>
      </c>
      <c r="M859">
        <v>1135759</v>
      </c>
      <c r="N859">
        <v>151834</v>
      </c>
      <c r="O859">
        <v>60</v>
      </c>
      <c r="P859" t="str">
        <f t="shared" si="27"/>
        <v>senior</v>
      </c>
      <c r="Q859" t="s">
        <v>1559</v>
      </c>
      <c r="R859" t="s">
        <v>1564</v>
      </c>
      <c r="S859" t="s">
        <v>1567</v>
      </c>
      <c r="T859">
        <v>2026434</v>
      </c>
      <c r="U859">
        <v>3</v>
      </c>
      <c r="V859" t="s">
        <v>1589</v>
      </c>
      <c r="W859" t="s">
        <v>1591</v>
      </c>
      <c r="X859">
        <v>11.79</v>
      </c>
    </row>
    <row r="860" spans="1:24" x14ac:dyDescent="0.25">
      <c r="A860" t="s">
        <v>880</v>
      </c>
      <c r="B860" s="4">
        <v>46181</v>
      </c>
      <c r="C860" s="4" t="str">
        <f t="shared" si="26"/>
        <v>Jun</v>
      </c>
      <c r="D860" t="s">
        <v>1522</v>
      </c>
      <c r="E860" t="s">
        <v>1526</v>
      </c>
      <c r="F860" t="s">
        <v>1529</v>
      </c>
      <c r="G860" t="s">
        <v>1540</v>
      </c>
      <c r="H860" t="s">
        <v>4</v>
      </c>
      <c r="I860">
        <v>2025</v>
      </c>
      <c r="J860" t="s">
        <v>1554</v>
      </c>
      <c r="K860" t="s">
        <v>1557</v>
      </c>
      <c r="L860">
        <v>1253231</v>
      </c>
      <c r="M860">
        <v>1144795</v>
      </c>
      <c r="N860">
        <v>108436</v>
      </c>
      <c r="O860">
        <v>59</v>
      </c>
      <c r="P860" t="str">
        <f t="shared" si="27"/>
        <v>senior</v>
      </c>
      <c r="Q860" t="s">
        <v>1558</v>
      </c>
      <c r="R860" t="s">
        <v>1565</v>
      </c>
      <c r="S860" t="s">
        <v>1569</v>
      </c>
      <c r="T860">
        <v>1035393</v>
      </c>
      <c r="U860">
        <v>3</v>
      </c>
      <c r="V860" t="s">
        <v>1582</v>
      </c>
      <c r="W860" t="s">
        <v>1592</v>
      </c>
      <c r="X860">
        <v>8.65</v>
      </c>
    </row>
    <row r="861" spans="1:24" x14ac:dyDescent="0.25">
      <c r="A861" t="s">
        <v>881</v>
      </c>
      <c r="B861" s="4">
        <v>46092</v>
      </c>
      <c r="C861" s="4" t="str">
        <f t="shared" si="26"/>
        <v>Mar</v>
      </c>
      <c r="D861" t="s">
        <v>1522</v>
      </c>
      <c r="E861" t="s">
        <v>1527</v>
      </c>
      <c r="F861" t="s">
        <v>1536</v>
      </c>
      <c r="G861" t="s">
        <v>1549</v>
      </c>
      <c r="H861" t="s">
        <v>1551</v>
      </c>
      <c r="I861">
        <v>2025</v>
      </c>
      <c r="J861" t="s">
        <v>1554</v>
      </c>
      <c r="K861" t="s">
        <v>1556</v>
      </c>
      <c r="L861">
        <v>781900</v>
      </c>
      <c r="M861">
        <v>707790</v>
      </c>
      <c r="N861">
        <v>74110</v>
      </c>
      <c r="O861">
        <v>40</v>
      </c>
      <c r="P861" t="str">
        <f t="shared" si="27"/>
        <v>adult</v>
      </c>
      <c r="Q861" t="s">
        <v>1558</v>
      </c>
      <c r="R861" t="s">
        <v>1566</v>
      </c>
      <c r="S861" t="s">
        <v>1568</v>
      </c>
      <c r="T861">
        <v>421611</v>
      </c>
      <c r="U861">
        <v>5</v>
      </c>
      <c r="V861" t="s">
        <v>1586</v>
      </c>
      <c r="W861" t="s">
        <v>1591</v>
      </c>
      <c r="X861">
        <v>9.48</v>
      </c>
    </row>
    <row r="862" spans="1:24" x14ac:dyDescent="0.25">
      <c r="A862" t="s">
        <v>882</v>
      </c>
      <c r="B862" s="4">
        <v>46025</v>
      </c>
      <c r="C862" s="4" t="str">
        <f t="shared" si="26"/>
        <v>Jan</v>
      </c>
      <c r="D862" t="s">
        <v>1522</v>
      </c>
      <c r="E862" t="s">
        <v>1524</v>
      </c>
      <c r="F862" t="s">
        <v>1532</v>
      </c>
      <c r="G862" t="s">
        <v>1538</v>
      </c>
      <c r="H862" t="s">
        <v>1550</v>
      </c>
      <c r="I862">
        <v>2022</v>
      </c>
      <c r="J862" t="s">
        <v>1554</v>
      </c>
      <c r="K862" t="s">
        <v>1556</v>
      </c>
      <c r="L862">
        <v>1536006</v>
      </c>
      <c r="M862">
        <v>1349312</v>
      </c>
      <c r="N862">
        <v>186694</v>
      </c>
      <c r="O862">
        <v>34</v>
      </c>
      <c r="P862" t="str">
        <f t="shared" si="27"/>
        <v>adult</v>
      </c>
      <c r="Q862" t="s">
        <v>1558</v>
      </c>
      <c r="R862" t="s">
        <v>1561</v>
      </c>
      <c r="S862" t="s">
        <v>1567</v>
      </c>
      <c r="T862">
        <v>1734120</v>
      </c>
      <c r="U862">
        <v>4</v>
      </c>
      <c r="V862" t="s">
        <v>1581</v>
      </c>
      <c r="W862" t="s">
        <v>1591</v>
      </c>
      <c r="X862">
        <v>12.15</v>
      </c>
    </row>
    <row r="863" spans="1:24" x14ac:dyDescent="0.25">
      <c r="A863" t="s">
        <v>883</v>
      </c>
      <c r="B863" s="4">
        <v>45920</v>
      </c>
      <c r="C863" s="4" t="str">
        <f t="shared" si="26"/>
        <v>Sep</v>
      </c>
      <c r="D863" t="s">
        <v>1522</v>
      </c>
      <c r="E863" t="s">
        <v>1524</v>
      </c>
      <c r="F863" t="s">
        <v>1528</v>
      </c>
      <c r="G863" t="s">
        <v>1545</v>
      </c>
      <c r="H863" t="s">
        <v>1551</v>
      </c>
      <c r="I863">
        <v>2025</v>
      </c>
      <c r="J863" t="s">
        <v>1554</v>
      </c>
      <c r="K863" t="s">
        <v>1556</v>
      </c>
      <c r="L863">
        <v>1022362</v>
      </c>
      <c r="M863">
        <v>918279</v>
      </c>
      <c r="N863">
        <v>104083</v>
      </c>
      <c r="O863">
        <v>28</v>
      </c>
      <c r="P863" t="str">
        <f t="shared" si="27"/>
        <v>young</v>
      </c>
      <c r="Q863" t="s">
        <v>1558</v>
      </c>
      <c r="R863" t="s">
        <v>1566</v>
      </c>
      <c r="S863" t="s">
        <v>1567</v>
      </c>
      <c r="T863">
        <v>1884185</v>
      </c>
      <c r="U863">
        <v>5</v>
      </c>
      <c r="V863" t="s">
        <v>1577</v>
      </c>
      <c r="W863" t="s">
        <v>1594</v>
      </c>
      <c r="X863">
        <v>10.18</v>
      </c>
    </row>
    <row r="864" spans="1:24" x14ac:dyDescent="0.25">
      <c r="A864" t="s">
        <v>884</v>
      </c>
      <c r="B864" s="4">
        <v>46209</v>
      </c>
      <c r="C864" s="4" t="str">
        <f t="shared" si="26"/>
        <v>Jul</v>
      </c>
      <c r="D864" t="s">
        <v>1522</v>
      </c>
      <c r="E864" t="s">
        <v>1527</v>
      </c>
      <c r="F864" t="s">
        <v>1537</v>
      </c>
      <c r="G864" t="s">
        <v>1547</v>
      </c>
      <c r="H864" t="s">
        <v>4</v>
      </c>
      <c r="I864">
        <v>2025</v>
      </c>
      <c r="J864" t="s">
        <v>1554</v>
      </c>
      <c r="K864" t="s">
        <v>1556</v>
      </c>
      <c r="L864">
        <v>1302390</v>
      </c>
      <c r="M864">
        <v>1136459</v>
      </c>
      <c r="N864">
        <v>165931</v>
      </c>
      <c r="O864">
        <v>54</v>
      </c>
      <c r="P864" t="str">
        <f t="shared" si="27"/>
        <v>senior</v>
      </c>
      <c r="Q864" t="s">
        <v>1558</v>
      </c>
      <c r="R864" t="s">
        <v>1564</v>
      </c>
      <c r="S864" t="s">
        <v>1570</v>
      </c>
      <c r="T864">
        <v>1218647</v>
      </c>
      <c r="U864">
        <v>1</v>
      </c>
      <c r="V864" t="s">
        <v>1587</v>
      </c>
      <c r="W864" t="s">
        <v>1594</v>
      </c>
      <c r="X864">
        <v>12.74</v>
      </c>
    </row>
    <row r="865" spans="1:24" x14ac:dyDescent="0.25">
      <c r="A865" t="s">
        <v>885</v>
      </c>
      <c r="B865" s="4">
        <v>45950</v>
      </c>
      <c r="C865" s="4" t="str">
        <f t="shared" si="26"/>
        <v>Oct</v>
      </c>
      <c r="D865" t="s">
        <v>1522</v>
      </c>
      <c r="E865" t="s">
        <v>1527</v>
      </c>
      <c r="F865" t="s">
        <v>1534</v>
      </c>
      <c r="G865" t="s">
        <v>1542</v>
      </c>
      <c r="H865" t="s">
        <v>1551</v>
      </c>
      <c r="I865">
        <v>2026</v>
      </c>
      <c r="J865" t="s">
        <v>1554</v>
      </c>
      <c r="K865" t="s">
        <v>1556</v>
      </c>
      <c r="L865">
        <v>935814</v>
      </c>
      <c r="M865">
        <v>804351</v>
      </c>
      <c r="N865">
        <v>131463</v>
      </c>
      <c r="O865">
        <v>26</v>
      </c>
      <c r="P865" t="str">
        <f t="shared" si="27"/>
        <v>young</v>
      </c>
      <c r="Q865" t="s">
        <v>1558</v>
      </c>
      <c r="R865" t="s">
        <v>1561</v>
      </c>
      <c r="S865" t="s">
        <v>1568</v>
      </c>
      <c r="T865">
        <v>1996558</v>
      </c>
      <c r="U865">
        <v>1</v>
      </c>
      <c r="V865" t="s">
        <v>1574</v>
      </c>
      <c r="W865" t="s">
        <v>1593</v>
      </c>
      <c r="X865">
        <v>14.05</v>
      </c>
    </row>
    <row r="866" spans="1:24" x14ac:dyDescent="0.25">
      <c r="A866" t="s">
        <v>886</v>
      </c>
      <c r="B866" s="4">
        <v>45841</v>
      </c>
      <c r="C866" s="4" t="str">
        <f t="shared" si="26"/>
        <v>Jul</v>
      </c>
      <c r="D866" t="s">
        <v>1522</v>
      </c>
      <c r="E866" t="s">
        <v>1525</v>
      </c>
      <c r="F866" t="s">
        <v>1528</v>
      </c>
      <c r="G866" t="s">
        <v>1539</v>
      </c>
      <c r="H866" t="s">
        <v>1550</v>
      </c>
      <c r="I866">
        <v>2023</v>
      </c>
      <c r="J866" t="s">
        <v>1554</v>
      </c>
      <c r="K866" t="s">
        <v>1556</v>
      </c>
      <c r="L866">
        <v>1499327</v>
      </c>
      <c r="M866">
        <v>1341088</v>
      </c>
      <c r="N866">
        <v>158239</v>
      </c>
      <c r="O866">
        <v>51</v>
      </c>
      <c r="P866" t="str">
        <f t="shared" si="27"/>
        <v>senior</v>
      </c>
      <c r="Q866" t="s">
        <v>1558</v>
      </c>
      <c r="R866" t="s">
        <v>1566</v>
      </c>
      <c r="S866" t="s">
        <v>1569</v>
      </c>
      <c r="T866">
        <v>1238771</v>
      </c>
      <c r="U866">
        <v>2</v>
      </c>
      <c r="V866" t="s">
        <v>1579</v>
      </c>
      <c r="W866" t="s">
        <v>1594</v>
      </c>
      <c r="X866">
        <v>10.55</v>
      </c>
    </row>
    <row r="867" spans="1:24" x14ac:dyDescent="0.25">
      <c r="A867" t="s">
        <v>887</v>
      </c>
      <c r="B867" s="4">
        <v>45882</v>
      </c>
      <c r="C867" s="4" t="str">
        <f t="shared" si="26"/>
        <v>Aug</v>
      </c>
      <c r="D867" t="s">
        <v>1522</v>
      </c>
      <c r="E867" t="s">
        <v>1526</v>
      </c>
      <c r="F867" t="s">
        <v>1534</v>
      </c>
      <c r="G867" t="s">
        <v>1548</v>
      </c>
      <c r="H867" t="s">
        <v>4</v>
      </c>
      <c r="I867">
        <v>2026</v>
      </c>
      <c r="J867" t="s">
        <v>1554</v>
      </c>
      <c r="K867" t="s">
        <v>1556</v>
      </c>
      <c r="L867">
        <v>1556791</v>
      </c>
      <c r="M867">
        <v>1334890</v>
      </c>
      <c r="N867">
        <v>221901</v>
      </c>
      <c r="O867">
        <v>56</v>
      </c>
      <c r="P867" t="str">
        <f t="shared" si="27"/>
        <v>senior</v>
      </c>
      <c r="Q867" t="s">
        <v>1558</v>
      </c>
      <c r="R867" t="s">
        <v>1561</v>
      </c>
      <c r="S867" t="s">
        <v>1567</v>
      </c>
      <c r="T867">
        <v>1471986</v>
      </c>
      <c r="U867">
        <v>1</v>
      </c>
      <c r="V867" t="s">
        <v>1585</v>
      </c>
      <c r="W867" t="s">
        <v>1594</v>
      </c>
      <c r="X867">
        <v>14.25</v>
      </c>
    </row>
    <row r="868" spans="1:24" x14ac:dyDescent="0.25">
      <c r="A868" t="s">
        <v>888</v>
      </c>
      <c r="B868" s="4">
        <v>46071</v>
      </c>
      <c r="C868" s="4" t="str">
        <f t="shared" si="26"/>
        <v>Feb</v>
      </c>
      <c r="D868" t="s">
        <v>1522</v>
      </c>
      <c r="E868" t="s">
        <v>1527</v>
      </c>
      <c r="F868" t="s">
        <v>1534</v>
      </c>
      <c r="G868" t="s">
        <v>1543</v>
      </c>
      <c r="H868" t="s">
        <v>1550</v>
      </c>
      <c r="I868">
        <v>2023</v>
      </c>
      <c r="J868" t="s">
        <v>1554</v>
      </c>
      <c r="K868" t="s">
        <v>1556</v>
      </c>
      <c r="L868">
        <v>1483011</v>
      </c>
      <c r="M868">
        <v>1379418</v>
      </c>
      <c r="N868">
        <v>103593</v>
      </c>
      <c r="O868">
        <v>58</v>
      </c>
      <c r="P868" t="str">
        <f t="shared" si="27"/>
        <v>senior</v>
      </c>
      <c r="Q868" t="s">
        <v>1559</v>
      </c>
      <c r="R868" t="s">
        <v>1565</v>
      </c>
      <c r="S868" t="s">
        <v>1567</v>
      </c>
      <c r="T868">
        <v>1698650</v>
      </c>
      <c r="U868">
        <v>2</v>
      </c>
      <c r="V868" t="s">
        <v>1589</v>
      </c>
      <c r="W868" t="s">
        <v>1591</v>
      </c>
      <c r="X868">
        <v>6.99</v>
      </c>
    </row>
    <row r="869" spans="1:24" x14ac:dyDescent="0.25">
      <c r="A869" t="s">
        <v>889</v>
      </c>
      <c r="B869" s="4">
        <v>46196</v>
      </c>
      <c r="C869" s="4" t="str">
        <f t="shared" si="26"/>
        <v>Jun</v>
      </c>
      <c r="D869" t="s">
        <v>1522</v>
      </c>
      <c r="E869" t="s">
        <v>1523</v>
      </c>
      <c r="F869" t="s">
        <v>1532</v>
      </c>
      <c r="G869" t="s">
        <v>1543</v>
      </c>
      <c r="H869" t="s">
        <v>4</v>
      </c>
      <c r="I869">
        <v>2022</v>
      </c>
      <c r="J869" t="s">
        <v>1554</v>
      </c>
      <c r="K869" t="s">
        <v>1556</v>
      </c>
      <c r="L869">
        <v>1615373</v>
      </c>
      <c r="M869">
        <v>1534451</v>
      </c>
      <c r="N869">
        <v>80922</v>
      </c>
      <c r="O869">
        <v>25</v>
      </c>
      <c r="P869" t="str">
        <f t="shared" si="27"/>
        <v>young</v>
      </c>
      <c r="Q869" t="s">
        <v>1558</v>
      </c>
      <c r="R869" t="s">
        <v>1562</v>
      </c>
      <c r="S869" t="s">
        <v>1570</v>
      </c>
      <c r="T869">
        <v>192875</v>
      </c>
      <c r="U869">
        <v>4</v>
      </c>
      <c r="V869" t="s">
        <v>1582</v>
      </c>
      <c r="W869" t="s">
        <v>1592</v>
      </c>
      <c r="X869">
        <v>5.01</v>
      </c>
    </row>
    <row r="870" spans="1:24" x14ac:dyDescent="0.25">
      <c r="A870" t="s">
        <v>890</v>
      </c>
      <c r="B870" s="4">
        <v>46222</v>
      </c>
      <c r="C870" s="4" t="str">
        <f t="shared" si="26"/>
        <v>Jul</v>
      </c>
      <c r="D870" t="s">
        <v>1522</v>
      </c>
      <c r="E870" t="s">
        <v>1527</v>
      </c>
      <c r="F870" t="s">
        <v>1531</v>
      </c>
      <c r="G870" t="s">
        <v>1546</v>
      </c>
      <c r="H870" t="s">
        <v>4</v>
      </c>
      <c r="I870">
        <v>2025</v>
      </c>
      <c r="J870" t="s">
        <v>1554</v>
      </c>
      <c r="K870" t="s">
        <v>1557</v>
      </c>
      <c r="L870">
        <v>1314628</v>
      </c>
      <c r="M870">
        <v>1172273</v>
      </c>
      <c r="N870">
        <v>142355</v>
      </c>
      <c r="O870">
        <v>23</v>
      </c>
      <c r="P870" t="str">
        <f t="shared" si="27"/>
        <v>young</v>
      </c>
      <c r="Q870" t="s">
        <v>1559</v>
      </c>
      <c r="R870" t="s">
        <v>1566</v>
      </c>
      <c r="S870" t="s">
        <v>1567</v>
      </c>
      <c r="T870">
        <v>361317</v>
      </c>
      <c r="U870">
        <v>3</v>
      </c>
      <c r="V870" t="s">
        <v>1587</v>
      </c>
      <c r="W870" t="s">
        <v>1594</v>
      </c>
      <c r="X870">
        <v>10.83</v>
      </c>
    </row>
    <row r="871" spans="1:24" x14ac:dyDescent="0.25">
      <c r="A871" t="s">
        <v>891</v>
      </c>
      <c r="B871" s="4">
        <v>46200</v>
      </c>
      <c r="C871" s="4" t="str">
        <f t="shared" si="26"/>
        <v>Jun</v>
      </c>
      <c r="D871" t="s">
        <v>1522</v>
      </c>
      <c r="E871" t="s">
        <v>1526</v>
      </c>
      <c r="F871" t="s">
        <v>1533</v>
      </c>
      <c r="G871" t="s">
        <v>1546</v>
      </c>
      <c r="H871" t="s">
        <v>1551</v>
      </c>
      <c r="I871">
        <v>2024</v>
      </c>
      <c r="J871" t="s">
        <v>1554</v>
      </c>
      <c r="K871" t="s">
        <v>1556</v>
      </c>
      <c r="L871">
        <v>891135</v>
      </c>
      <c r="M871">
        <v>829280</v>
      </c>
      <c r="N871">
        <v>61855</v>
      </c>
      <c r="O871">
        <v>29</v>
      </c>
      <c r="P871" t="str">
        <f t="shared" si="27"/>
        <v>young</v>
      </c>
      <c r="Q871" t="s">
        <v>1558</v>
      </c>
      <c r="R871" t="s">
        <v>1566</v>
      </c>
      <c r="S871" t="s">
        <v>1569</v>
      </c>
      <c r="T871">
        <v>1612018</v>
      </c>
      <c r="U871">
        <v>2</v>
      </c>
      <c r="V871" t="s">
        <v>1582</v>
      </c>
      <c r="W871" t="s">
        <v>1592</v>
      </c>
      <c r="X871">
        <v>6.94</v>
      </c>
    </row>
    <row r="872" spans="1:24" x14ac:dyDescent="0.25">
      <c r="A872" t="s">
        <v>892</v>
      </c>
      <c r="B872" s="4">
        <v>46041</v>
      </c>
      <c r="C872" s="4" t="str">
        <f t="shared" si="26"/>
        <v>Jan</v>
      </c>
      <c r="D872" t="s">
        <v>1522</v>
      </c>
      <c r="E872" t="s">
        <v>1523</v>
      </c>
      <c r="F872" t="s">
        <v>1534</v>
      </c>
      <c r="G872" t="s">
        <v>1548</v>
      </c>
      <c r="H872" t="s">
        <v>1550</v>
      </c>
      <c r="I872">
        <v>2025</v>
      </c>
      <c r="J872" t="s">
        <v>1554</v>
      </c>
      <c r="K872" t="s">
        <v>1557</v>
      </c>
      <c r="L872">
        <v>1455538</v>
      </c>
      <c r="M872">
        <v>1240421</v>
      </c>
      <c r="N872">
        <v>215117</v>
      </c>
      <c r="O872">
        <v>45</v>
      </c>
      <c r="P872" t="str">
        <f t="shared" si="27"/>
        <v>adult</v>
      </c>
      <c r="Q872" t="s">
        <v>1558</v>
      </c>
      <c r="R872" t="s">
        <v>1563</v>
      </c>
      <c r="S872" t="s">
        <v>1569</v>
      </c>
      <c r="T872">
        <v>1749721</v>
      </c>
      <c r="U872">
        <v>4</v>
      </c>
      <c r="V872" t="s">
        <v>1581</v>
      </c>
      <c r="W872" t="s">
        <v>1591</v>
      </c>
      <c r="X872">
        <v>14.78</v>
      </c>
    </row>
    <row r="873" spans="1:24" x14ac:dyDescent="0.25">
      <c r="A873" t="s">
        <v>893</v>
      </c>
      <c r="B873" s="4">
        <v>46037</v>
      </c>
      <c r="C873" s="4" t="str">
        <f t="shared" si="26"/>
        <v>Jan</v>
      </c>
      <c r="D873" t="s">
        <v>1522</v>
      </c>
      <c r="E873" t="s">
        <v>1524</v>
      </c>
      <c r="F873" t="s">
        <v>1535</v>
      </c>
      <c r="G873" t="s">
        <v>1538</v>
      </c>
      <c r="H873" t="s">
        <v>1551</v>
      </c>
      <c r="I873">
        <v>2024</v>
      </c>
      <c r="J873" t="s">
        <v>1554</v>
      </c>
      <c r="K873" t="s">
        <v>1557</v>
      </c>
      <c r="L873">
        <v>891179</v>
      </c>
      <c r="M873">
        <v>851477</v>
      </c>
      <c r="N873">
        <v>39702</v>
      </c>
      <c r="O873">
        <v>36</v>
      </c>
      <c r="P873" t="str">
        <f t="shared" si="27"/>
        <v>adult</v>
      </c>
      <c r="Q873" t="s">
        <v>1560</v>
      </c>
      <c r="R873" t="s">
        <v>1564</v>
      </c>
      <c r="S873" t="s">
        <v>1568</v>
      </c>
      <c r="T873">
        <v>705066</v>
      </c>
      <c r="U873">
        <v>3</v>
      </c>
      <c r="V873" t="s">
        <v>1581</v>
      </c>
      <c r="W873" t="s">
        <v>1591</v>
      </c>
      <c r="X873">
        <v>4.45</v>
      </c>
    </row>
    <row r="874" spans="1:24" x14ac:dyDescent="0.25">
      <c r="A874" t="s">
        <v>894</v>
      </c>
      <c r="B874" s="4">
        <v>46193</v>
      </c>
      <c r="C874" s="4" t="str">
        <f t="shared" si="26"/>
        <v>Jun</v>
      </c>
      <c r="D874" t="s">
        <v>1522</v>
      </c>
      <c r="E874" t="s">
        <v>1526</v>
      </c>
      <c r="F874" t="s">
        <v>1535</v>
      </c>
      <c r="G874" t="s">
        <v>1545</v>
      </c>
      <c r="H874" t="s">
        <v>1551</v>
      </c>
      <c r="I874">
        <v>2023</v>
      </c>
      <c r="J874" t="s">
        <v>1553</v>
      </c>
      <c r="K874" t="s">
        <v>1556</v>
      </c>
      <c r="L874">
        <v>808868</v>
      </c>
      <c r="M874">
        <v>768174</v>
      </c>
      <c r="N874">
        <v>40694</v>
      </c>
      <c r="O874">
        <v>38</v>
      </c>
      <c r="P874" t="str">
        <f t="shared" si="27"/>
        <v>adult</v>
      </c>
      <c r="Q874" t="s">
        <v>1558</v>
      </c>
      <c r="R874" t="s">
        <v>1565</v>
      </c>
      <c r="S874" t="s">
        <v>1567</v>
      </c>
      <c r="T874">
        <v>2112726</v>
      </c>
      <c r="U874">
        <v>2</v>
      </c>
      <c r="V874" t="s">
        <v>1582</v>
      </c>
      <c r="W874" t="s">
        <v>1592</v>
      </c>
      <c r="X874">
        <v>5.03</v>
      </c>
    </row>
    <row r="875" spans="1:24" x14ac:dyDescent="0.25">
      <c r="A875" t="s">
        <v>895</v>
      </c>
      <c r="B875" s="4">
        <v>46092</v>
      </c>
      <c r="C875" s="4" t="str">
        <f t="shared" si="26"/>
        <v>Mar</v>
      </c>
      <c r="D875" t="s">
        <v>1522</v>
      </c>
      <c r="E875" t="s">
        <v>1524</v>
      </c>
      <c r="F875" t="s">
        <v>1534</v>
      </c>
      <c r="G875" t="s">
        <v>1542</v>
      </c>
      <c r="H875" t="s">
        <v>4</v>
      </c>
      <c r="I875">
        <v>2026</v>
      </c>
      <c r="J875" t="s">
        <v>1554</v>
      </c>
      <c r="K875" t="s">
        <v>1556</v>
      </c>
      <c r="L875">
        <v>1311570</v>
      </c>
      <c r="M875">
        <v>1258283</v>
      </c>
      <c r="N875">
        <v>53287</v>
      </c>
      <c r="O875">
        <v>27</v>
      </c>
      <c r="P875" t="str">
        <f t="shared" si="27"/>
        <v>young</v>
      </c>
      <c r="Q875" t="s">
        <v>1559</v>
      </c>
      <c r="R875" t="s">
        <v>1564</v>
      </c>
      <c r="S875" t="s">
        <v>1568</v>
      </c>
      <c r="T875">
        <v>920538</v>
      </c>
      <c r="U875">
        <v>4</v>
      </c>
      <c r="V875" t="s">
        <v>1586</v>
      </c>
      <c r="W875" t="s">
        <v>1591</v>
      </c>
      <c r="X875">
        <v>4.0599999999999996</v>
      </c>
    </row>
    <row r="876" spans="1:24" x14ac:dyDescent="0.25">
      <c r="A876" t="s">
        <v>896</v>
      </c>
      <c r="B876" s="4">
        <v>45744</v>
      </c>
      <c r="C876" s="4" t="str">
        <f t="shared" si="26"/>
        <v>Mar</v>
      </c>
      <c r="D876" t="s">
        <v>1522</v>
      </c>
      <c r="E876" t="s">
        <v>1527</v>
      </c>
      <c r="F876" t="s">
        <v>1528</v>
      </c>
      <c r="G876" t="s">
        <v>1542</v>
      </c>
      <c r="H876" t="s">
        <v>1551</v>
      </c>
      <c r="I876">
        <v>2025</v>
      </c>
      <c r="J876" t="s">
        <v>1554</v>
      </c>
      <c r="K876" t="s">
        <v>1556</v>
      </c>
      <c r="L876">
        <v>876194</v>
      </c>
      <c r="M876">
        <v>824083</v>
      </c>
      <c r="N876">
        <v>52111</v>
      </c>
      <c r="O876">
        <v>33</v>
      </c>
      <c r="P876" t="str">
        <f t="shared" si="27"/>
        <v>adult</v>
      </c>
      <c r="Q876" t="s">
        <v>1559</v>
      </c>
      <c r="R876" t="s">
        <v>1566</v>
      </c>
      <c r="S876" t="s">
        <v>1568</v>
      </c>
      <c r="T876">
        <v>1270664</v>
      </c>
      <c r="U876">
        <v>5</v>
      </c>
      <c r="V876" t="s">
        <v>1588</v>
      </c>
      <c r="W876" t="s">
        <v>1591</v>
      </c>
      <c r="X876">
        <v>5.95</v>
      </c>
    </row>
    <row r="877" spans="1:24" x14ac:dyDescent="0.25">
      <c r="A877" t="s">
        <v>897</v>
      </c>
      <c r="B877" s="4">
        <v>45761</v>
      </c>
      <c r="C877" s="4" t="str">
        <f t="shared" si="26"/>
        <v>Apr</v>
      </c>
      <c r="D877" t="s">
        <v>1522</v>
      </c>
      <c r="E877" t="s">
        <v>1527</v>
      </c>
      <c r="F877" t="s">
        <v>1528</v>
      </c>
      <c r="G877" t="s">
        <v>1541</v>
      </c>
      <c r="H877" t="s">
        <v>1551</v>
      </c>
      <c r="I877">
        <v>2024</v>
      </c>
      <c r="J877" t="s">
        <v>1554</v>
      </c>
      <c r="K877" t="s">
        <v>1556</v>
      </c>
      <c r="L877">
        <v>825395</v>
      </c>
      <c r="M877">
        <v>751061</v>
      </c>
      <c r="N877">
        <v>74334</v>
      </c>
      <c r="O877">
        <v>46</v>
      </c>
      <c r="P877" t="str">
        <f t="shared" si="27"/>
        <v>adult</v>
      </c>
      <c r="Q877" t="s">
        <v>1558</v>
      </c>
      <c r="R877" t="s">
        <v>1565</v>
      </c>
      <c r="S877" t="s">
        <v>1567</v>
      </c>
      <c r="T877">
        <v>1786633</v>
      </c>
      <c r="U877">
        <v>5</v>
      </c>
      <c r="V877" t="s">
        <v>1573</v>
      </c>
      <c r="W877" t="s">
        <v>1592</v>
      </c>
      <c r="X877">
        <v>9.01</v>
      </c>
    </row>
    <row r="878" spans="1:24" x14ac:dyDescent="0.25">
      <c r="A878" t="s">
        <v>898</v>
      </c>
      <c r="B878" s="4">
        <v>46026</v>
      </c>
      <c r="C878" s="4" t="str">
        <f t="shared" si="26"/>
        <v>Jan</v>
      </c>
      <c r="D878" t="s">
        <v>1522</v>
      </c>
      <c r="E878" t="s">
        <v>1525</v>
      </c>
      <c r="F878" t="s">
        <v>1536</v>
      </c>
      <c r="G878" t="s">
        <v>1540</v>
      </c>
      <c r="H878" t="s">
        <v>4</v>
      </c>
      <c r="I878">
        <v>2024</v>
      </c>
      <c r="J878" t="s">
        <v>1554</v>
      </c>
      <c r="K878" t="s">
        <v>1557</v>
      </c>
      <c r="L878">
        <v>1859683</v>
      </c>
      <c r="M878">
        <v>1740787</v>
      </c>
      <c r="N878">
        <v>118896</v>
      </c>
      <c r="O878">
        <v>35</v>
      </c>
      <c r="P878" t="str">
        <f t="shared" si="27"/>
        <v>adult</v>
      </c>
      <c r="Q878" t="s">
        <v>1559</v>
      </c>
      <c r="R878" t="s">
        <v>1565</v>
      </c>
      <c r="S878" t="s">
        <v>1567</v>
      </c>
      <c r="T878">
        <v>1151902</v>
      </c>
      <c r="U878">
        <v>3</v>
      </c>
      <c r="V878" t="s">
        <v>1581</v>
      </c>
      <c r="W878" t="s">
        <v>1591</v>
      </c>
      <c r="X878">
        <v>6.39</v>
      </c>
    </row>
    <row r="879" spans="1:24" x14ac:dyDescent="0.25">
      <c r="A879" t="s">
        <v>899</v>
      </c>
      <c r="B879" s="4">
        <v>45993</v>
      </c>
      <c r="C879" s="4" t="str">
        <f t="shared" si="26"/>
        <v>Dec</v>
      </c>
      <c r="D879" t="s">
        <v>1522</v>
      </c>
      <c r="E879" t="s">
        <v>1523</v>
      </c>
      <c r="F879" t="s">
        <v>1534</v>
      </c>
      <c r="G879" t="s">
        <v>1549</v>
      </c>
      <c r="H879" t="s">
        <v>1550</v>
      </c>
      <c r="I879">
        <v>2025</v>
      </c>
      <c r="J879" t="s">
        <v>1554</v>
      </c>
      <c r="K879" t="s">
        <v>1556</v>
      </c>
      <c r="L879">
        <v>1455984</v>
      </c>
      <c r="M879">
        <v>1361837</v>
      </c>
      <c r="N879">
        <v>94147</v>
      </c>
      <c r="O879">
        <v>62</v>
      </c>
      <c r="P879" t="str">
        <f t="shared" si="27"/>
        <v>senior</v>
      </c>
      <c r="Q879" t="s">
        <v>1558</v>
      </c>
      <c r="R879" t="s">
        <v>1563</v>
      </c>
      <c r="S879" t="s">
        <v>1570</v>
      </c>
      <c r="T879">
        <v>376037</v>
      </c>
      <c r="U879">
        <v>5</v>
      </c>
      <c r="V879" t="s">
        <v>1575</v>
      </c>
      <c r="W879" t="s">
        <v>1593</v>
      </c>
      <c r="X879">
        <v>6.47</v>
      </c>
    </row>
    <row r="880" spans="1:24" x14ac:dyDescent="0.25">
      <c r="A880" t="s">
        <v>900</v>
      </c>
      <c r="B880" s="4">
        <v>45876</v>
      </c>
      <c r="C880" s="4" t="str">
        <f t="shared" si="26"/>
        <v>Aug</v>
      </c>
      <c r="D880" t="s">
        <v>1522</v>
      </c>
      <c r="E880" t="s">
        <v>1525</v>
      </c>
      <c r="F880" t="s">
        <v>1534</v>
      </c>
      <c r="G880" t="s">
        <v>1538</v>
      </c>
      <c r="H880" t="s">
        <v>4</v>
      </c>
      <c r="I880">
        <v>2024</v>
      </c>
      <c r="J880" t="s">
        <v>1554</v>
      </c>
      <c r="K880" t="s">
        <v>1556</v>
      </c>
      <c r="L880">
        <v>1720208</v>
      </c>
      <c r="M880">
        <v>1498218</v>
      </c>
      <c r="N880">
        <v>221990</v>
      </c>
      <c r="O880">
        <v>25</v>
      </c>
      <c r="P880" t="str">
        <f t="shared" si="27"/>
        <v>young</v>
      </c>
      <c r="Q880" t="s">
        <v>1558</v>
      </c>
      <c r="R880" t="s">
        <v>1564</v>
      </c>
      <c r="S880" t="s">
        <v>1570</v>
      </c>
      <c r="T880">
        <v>1959995</v>
      </c>
      <c r="U880">
        <v>4</v>
      </c>
      <c r="V880" t="s">
        <v>1585</v>
      </c>
      <c r="W880" t="s">
        <v>1594</v>
      </c>
      <c r="X880">
        <v>12.9</v>
      </c>
    </row>
    <row r="881" spans="1:24" x14ac:dyDescent="0.25">
      <c r="A881" t="s">
        <v>901</v>
      </c>
      <c r="B881" s="4">
        <v>45857</v>
      </c>
      <c r="C881" s="4" t="str">
        <f t="shared" si="26"/>
        <v>Jul</v>
      </c>
      <c r="D881" t="s">
        <v>1522</v>
      </c>
      <c r="E881" t="s">
        <v>1527</v>
      </c>
      <c r="F881" t="s">
        <v>1534</v>
      </c>
      <c r="G881" t="s">
        <v>1538</v>
      </c>
      <c r="H881" t="s">
        <v>1551</v>
      </c>
      <c r="I881">
        <v>2025</v>
      </c>
      <c r="J881" t="s">
        <v>1554</v>
      </c>
      <c r="K881" t="s">
        <v>1556</v>
      </c>
      <c r="L881">
        <v>769285</v>
      </c>
      <c r="M881">
        <v>661644</v>
      </c>
      <c r="N881">
        <v>107641</v>
      </c>
      <c r="O881">
        <v>35</v>
      </c>
      <c r="P881" t="str">
        <f t="shared" si="27"/>
        <v>adult</v>
      </c>
      <c r="Q881" t="s">
        <v>1559</v>
      </c>
      <c r="R881" t="s">
        <v>1561</v>
      </c>
      <c r="S881" t="s">
        <v>1567</v>
      </c>
      <c r="T881">
        <v>1047193</v>
      </c>
      <c r="U881">
        <v>1</v>
      </c>
      <c r="V881" t="s">
        <v>1579</v>
      </c>
      <c r="W881" t="s">
        <v>1594</v>
      </c>
      <c r="X881">
        <v>13.99</v>
      </c>
    </row>
    <row r="882" spans="1:24" x14ac:dyDescent="0.25">
      <c r="A882" t="s">
        <v>902</v>
      </c>
      <c r="B882" s="4">
        <v>45679</v>
      </c>
      <c r="C882" s="4" t="str">
        <f t="shared" si="26"/>
        <v>Jan</v>
      </c>
      <c r="D882" t="s">
        <v>1522</v>
      </c>
      <c r="E882" t="s">
        <v>1527</v>
      </c>
      <c r="F882" t="s">
        <v>1528</v>
      </c>
      <c r="G882" t="s">
        <v>1541</v>
      </c>
      <c r="H882" t="s">
        <v>1551</v>
      </c>
      <c r="I882">
        <v>2026</v>
      </c>
      <c r="J882" t="s">
        <v>1554</v>
      </c>
      <c r="K882" t="s">
        <v>1557</v>
      </c>
      <c r="L882">
        <v>860062</v>
      </c>
      <c r="M882">
        <v>794934</v>
      </c>
      <c r="N882">
        <v>65128</v>
      </c>
      <c r="O882">
        <v>55</v>
      </c>
      <c r="P882" t="str">
        <f t="shared" si="27"/>
        <v>senior</v>
      </c>
      <c r="Q882" t="s">
        <v>1559</v>
      </c>
      <c r="R882" t="s">
        <v>1565</v>
      </c>
      <c r="S882" t="s">
        <v>1567</v>
      </c>
      <c r="T882">
        <v>128514</v>
      </c>
      <c r="U882">
        <v>2</v>
      </c>
      <c r="V882" t="s">
        <v>1571</v>
      </c>
      <c r="W882" t="s">
        <v>1591</v>
      </c>
      <c r="X882">
        <v>7.57</v>
      </c>
    </row>
    <row r="883" spans="1:24" x14ac:dyDescent="0.25">
      <c r="A883" t="s">
        <v>903</v>
      </c>
      <c r="B883" s="4">
        <v>46110</v>
      </c>
      <c r="C883" s="4" t="str">
        <f t="shared" si="26"/>
        <v>Mar</v>
      </c>
      <c r="D883" t="s">
        <v>1522</v>
      </c>
      <c r="E883" t="s">
        <v>1523</v>
      </c>
      <c r="F883" t="s">
        <v>1533</v>
      </c>
      <c r="G883" t="s">
        <v>1549</v>
      </c>
      <c r="H883" t="s">
        <v>1550</v>
      </c>
      <c r="I883">
        <v>2026</v>
      </c>
      <c r="J883" t="s">
        <v>1554</v>
      </c>
      <c r="K883" t="s">
        <v>1557</v>
      </c>
      <c r="L883">
        <v>1747177</v>
      </c>
      <c r="M883">
        <v>1471779</v>
      </c>
      <c r="N883">
        <v>275398</v>
      </c>
      <c r="O883">
        <v>52</v>
      </c>
      <c r="P883" t="str">
        <f t="shared" si="27"/>
        <v>senior</v>
      </c>
      <c r="Q883" t="s">
        <v>1558</v>
      </c>
      <c r="R883" t="s">
        <v>1561</v>
      </c>
      <c r="S883" t="s">
        <v>1567</v>
      </c>
      <c r="T883">
        <v>2108735</v>
      </c>
      <c r="U883">
        <v>1</v>
      </c>
      <c r="V883" t="s">
        <v>1586</v>
      </c>
      <c r="W883" t="s">
        <v>1591</v>
      </c>
      <c r="X883">
        <v>15.76</v>
      </c>
    </row>
    <row r="884" spans="1:24" x14ac:dyDescent="0.25">
      <c r="A884" t="s">
        <v>904</v>
      </c>
      <c r="B884" s="4">
        <v>46217</v>
      </c>
      <c r="C884" s="4" t="str">
        <f t="shared" si="26"/>
        <v>Jul</v>
      </c>
      <c r="D884" t="s">
        <v>1522</v>
      </c>
      <c r="E884" t="s">
        <v>1524</v>
      </c>
      <c r="F884" t="s">
        <v>1530</v>
      </c>
      <c r="G884" t="s">
        <v>1543</v>
      </c>
      <c r="H884" t="s">
        <v>1550</v>
      </c>
      <c r="I884">
        <v>2025</v>
      </c>
      <c r="J884" t="s">
        <v>1554</v>
      </c>
      <c r="K884" t="s">
        <v>1557</v>
      </c>
      <c r="L884">
        <v>1581995</v>
      </c>
      <c r="M884">
        <v>1353423</v>
      </c>
      <c r="N884">
        <v>228572</v>
      </c>
      <c r="O884">
        <v>54</v>
      </c>
      <c r="P884" t="str">
        <f t="shared" si="27"/>
        <v>senior</v>
      </c>
      <c r="Q884" t="s">
        <v>1558</v>
      </c>
      <c r="R884" t="s">
        <v>1564</v>
      </c>
      <c r="S884" t="s">
        <v>1570</v>
      </c>
      <c r="T884">
        <v>1391332</v>
      </c>
      <c r="U884">
        <v>5</v>
      </c>
      <c r="V884" t="s">
        <v>1587</v>
      </c>
      <c r="W884" t="s">
        <v>1594</v>
      </c>
      <c r="X884">
        <v>14.45</v>
      </c>
    </row>
    <row r="885" spans="1:24" x14ac:dyDescent="0.25">
      <c r="A885" t="s">
        <v>905</v>
      </c>
      <c r="B885" s="4">
        <v>46151</v>
      </c>
      <c r="C885" s="4" t="str">
        <f t="shared" si="26"/>
        <v>May</v>
      </c>
      <c r="D885" t="s">
        <v>1522</v>
      </c>
      <c r="E885" t="s">
        <v>1527</v>
      </c>
      <c r="F885" t="s">
        <v>1534</v>
      </c>
      <c r="G885" t="s">
        <v>1541</v>
      </c>
      <c r="H885" t="s">
        <v>1550</v>
      </c>
      <c r="I885">
        <v>2025</v>
      </c>
      <c r="J885" t="s">
        <v>1554</v>
      </c>
      <c r="K885" t="s">
        <v>1557</v>
      </c>
      <c r="L885">
        <v>1661136</v>
      </c>
      <c r="M885">
        <v>1460492</v>
      </c>
      <c r="N885">
        <v>200644</v>
      </c>
      <c r="O885">
        <v>43</v>
      </c>
      <c r="P885" t="str">
        <f t="shared" si="27"/>
        <v>adult</v>
      </c>
      <c r="Q885" t="s">
        <v>1559</v>
      </c>
      <c r="R885" t="s">
        <v>1566</v>
      </c>
      <c r="S885" t="s">
        <v>1567</v>
      </c>
      <c r="T885">
        <v>1669246</v>
      </c>
      <c r="U885">
        <v>4</v>
      </c>
      <c r="V885" t="s">
        <v>1590</v>
      </c>
      <c r="W885" t="s">
        <v>1592</v>
      </c>
      <c r="X885">
        <v>12.08</v>
      </c>
    </row>
    <row r="886" spans="1:24" x14ac:dyDescent="0.25">
      <c r="A886" t="s">
        <v>906</v>
      </c>
      <c r="B886" s="4">
        <v>45836</v>
      </c>
      <c r="C886" s="4" t="str">
        <f t="shared" si="26"/>
        <v>Jun</v>
      </c>
      <c r="D886" t="s">
        <v>1522</v>
      </c>
      <c r="E886" t="s">
        <v>1525</v>
      </c>
      <c r="F886" t="s">
        <v>1536</v>
      </c>
      <c r="G886" t="s">
        <v>1539</v>
      </c>
      <c r="H886" t="s">
        <v>4</v>
      </c>
      <c r="I886">
        <v>2023</v>
      </c>
      <c r="J886" t="s">
        <v>1554</v>
      </c>
      <c r="K886" t="s">
        <v>1556</v>
      </c>
      <c r="L886">
        <v>1319285</v>
      </c>
      <c r="M886">
        <v>1134523</v>
      </c>
      <c r="N886">
        <v>184762</v>
      </c>
      <c r="O886">
        <v>26</v>
      </c>
      <c r="P886" t="str">
        <f t="shared" si="27"/>
        <v>young</v>
      </c>
      <c r="Q886" t="s">
        <v>1558</v>
      </c>
      <c r="R886" t="s">
        <v>1561</v>
      </c>
      <c r="S886" t="s">
        <v>1570</v>
      </c>
      <c r="T886">
        <v>316895</v>
      </c>
      <c r="U886">
        <v>1</v>
      </c>
      <c r="V886" t="s">
        <v>1584</v>
      </c>
      <c r="W886" t="s">
        <v>1592</v>
      </c>
      <c r="X886">
        <v>14</v>
      </c>
    </row>
    <row r="887" spans="1:24" x14ac:dyDescent="0.25">
      <c r="A887" t="s">
        <v>907</v>
      </c>
      <c r="B887" s="4">
        <v>45873</v>
      </c>
      <c r="C887" s="4" t="str">
        <f t="shared" si="26"/>
        <v>Aug</v>
      </c>
      <c r="D887" t="s">
        <v>1522</v>
      </c>
      <c r="E887" t="s">
        <v>1524</v>
      </c>
      <c r="F887" t="s">
        <v>1529</v>
      </c>
      <c r="G887" t="s">
        <v>1547</v>
      </c>
      <c r="H887" t="s">
        <v>4</v>
      </c>
      <c r="I887">
        <v>2026</v>
      </c>
      <c r="J887" t="s">
        <v>1554</v>
      </c>
      <c r="K887" t="s">
        <v>1556</v>
      </c>
      <c r="L887">
        <v>1804017</v>
      </c>
      <c r="M887">
        <v>1629543</v>
      </c>
      <c r="N887">
        <v>174474</v>
      </c>
      <c r="O887">
        <v>44</v>
      </c>
      <c r="P887" t="str">
        <f t="shared" si="27"/>
        <v>adult</v>
      </c>
      <c r="Q887" t="s">
        <v>1558</v>
      </c>
      <c r="R887" t="s">
        <v>1561</v>
      </c>
      <c r="S887" t="s">
        <v>1567</v>
      </c>
      <c r="T887">
        <v>565317</v>
      </c>
      <c r="U887">
        <v>4</v>
      </c>
      <c r="V887" t="s">
        <v>1585</v>
      </c>
      <c r="W887" t="s">
        <v>1594</v>
      </c>
      <c r="X887">
        <v>9.67</v>
      </c>
    </row>
    <row r="888" spans="1:24" x14ac:dyDescent="0.25">
      <c r="A888" t="s">
        <v>908</v>
      </c>
      <c r="B888" s="4">
        <v>46197</v>
      </c>
      <c r="C888" s="4" t="str">
        <f t="shared" si="26"/>
        <v>Jun</v>
      </c>
      <c r="D888" t="s">
        <v>1522</v>
      </c>
      <c r="E888" t="s">
        <v>1524</v>
      </c>
      <c r="F888" t="s">
        <v>1537</v>
      </c>
      <c r="G888" t="s">
        <v>1538</v>
      </c>
      <c r="H888" t="s">
        <v>1551</v>
      </c>
      <c r="I888">
        <v>2024</v>
      </c>
      <c r="J888" t="s">
        <v>1554</v>
      </c>
      <c r="K888" t="s">
        <v>1556</v>
      </c>
      <c r="L888">
        <v>865056</v>
      </c>
      <c r="M888">
        <v>814164</v>
      </c>
      <c r="N888">
        <v>50892</v>
      </c>
      <c r="O888">
        <v>60</v>
      </c>
      <c r="P888" t="str">
        <f t="shared" si="27"/>
        <v>senior</v>
      </c>
      <c r="Q888" t="s">
        <v>1558</v>
      </c>
      <c r="R888" t="s">
        <v>1563</v>
      </c>
      <c r="S888" t="s">
        <v>1567</v>
      </c>
      <c r="T888">
        <v>60745</v>
      </c>
      <c r="U888">
        <v>4</v>
      </c>
      <c r="V888" t="s">
        <v>1582</v>
      </c>
      <c r="W888" t="s">
        <v>1592</v>
      </c>
      <c r="X888">
        <v>5.88</v>
      </c>
    </row>
    <row r="889" spans="1:24" x14ac:dyDescent="0.25">
      <c r="A889" t="s">
        <v>909</v>
      </c>
      <c r="B889" s="4">
        <v>46100</v>
      </c>
      <c r="C889" s="4" t="str">
        <f t="shared" si="26"/>
        <v>Mar</v>
      </c>
      <c r="D889" t="s">
        <v>1522</v>
      </c>
      <c r="E889" t="s">
        <v>1523</v>
      </c>
      <c r="F889" t="s">
        <v>1531</v>
      </c>
      <c r="G889" t="s">
        <v>1539</v>
      </c>
      <c r="H889" t="s">
        <v>4</v>
      </c>
      <c r="I889">
        <v>2024</v>
      </c>
      <c r="J889" t="s">
        <v>1554</v>
      </c>
      <c r="K889" t="s">
        <v>1556</v>
      </c>
      <c r="L889">
        <v>1230238</v>
      </c>
      <c r="M889">
        <v>1030827</v>
      </c>
      <c r="N889">
        <v>199411</v>
      </c>
      <c r="O889">
        <v>27</v>
      </c>
      <c r="P889" t="str">
        <f t="shared" si="27"/>
        <v>young</v>
      </c>
      <c r="Q889" t="s">
        <v>1559</v>
      </c>
      <c r="R889" t="s">
        <v>1562</v>
      </c>
      <c r="S889" t="s">
        <v>1570</v>
      </c>
      <c r="T889">
        <v>1342972</v>
      </c>
      <c r="U889">
        <v>4</v>
      </c>
      <c r="V889" t="s">
        <v>1586</v>
      </c>
      <c r="W889" t="s">
        <v>1591</v>
      </c>
      <c r="X889">
        <v>16.21</v>
      </c>
    </row>
    <row r="890" spans="1:24" x14ac:dyDescent="0.25">
      <c r="A890" t="s">
        <v>910</v>
      </c>
      <c r="B890" s="4">
        <v>45711</v>
      </c>
      <c r="C890" s="4" t="str">
        <f t="shared" si="26"/>
        <v>Feb</v>
      </c>
      <c r="D890" t="s">
        <v>1522</v>
      </c>
      <c r="E890" t="s">
        <v>1525</v>
      </c>
      <c r="F890" t="s">
        <v>1534</v>
      </c>
      <c r="G890" t="s">
        <v>1544</v>
      </c>
      <c r="H890" t="s">
        <v>1550</v>
      </c>
      <c r="I890">
        <v>2025</v>
      </c>
      <c r="J890" t="s">
        <v>1554</v>
      </c>
      <c r="K890" t="s">
        <v>1557</v>
      </c>
      <c r="L890">
        <v>1362011</v>
      </c>
      <c r="M890">
        <v>1150341</v>
      </c>
      <c r="N890">
        <v>211670</v>
      </c>
      <c r="O890">
        <v>43</v>
      </c>
      <c r="P890" t="str">
        <f t="shared" si="27"/>
        <v>adult</v>
      </c>
      <c r="Q890" t="s">
        <v>1559</v>
      </c>
      <c r="R890" t="s">
        <v>1565</v>
      </c>
      <c r="S890" t="s">
        <v>1567</v>
      </c>
      <c r="T890">
        <v>1228928</v>
      </c>
      <c r="U890">
        <v>1</v>
      </c>
      <c r="V890" t="s">
        <v>1578</v>
      </c>
      <c r="W890" t="s">
        <v>1591</v>
      </c>
      <c r="X890">
        <v>15.54</v>
      </c>
    </row>
    <row r="891" spans="1:24" x14ac:dyDescent="0.25">
      <c r="A891" t="s">
        <v>911</v>
      </c>
      <c r="B891" s="4">
        <v>46111</v>
      </c>
      <c r="C891" s="4" t="str">
        <f t="shared" si="26"/>
        <v>Mar</v>
      </c>
      <c r="D891" t="s">
        <v>1522</v>
      </c>
      <c r="E891" t="s">
        <v>1526</v>
      </c>
      <c r="F891" t="s">
        <v>1535</v>
      </c>
      <c r="G891" t="s">
        <v>1549</v>
      </c>
      <c r="H891" t="s">
        <v>1551</v>
      </c>
      <c r="I891">
        <v>2024</v>
      </c>
      <c r="J891" t="s">
        <v>1554</v>
      </c>
      <c r="K891" t="s">
        <v>1557</v>
      </c>
      <c r="L891">
        <v>920897</v>
      </c>
      <c r="M891">
        <v>831874</v>
      </c>
      <c r="N891">
        <v>89023</v>
      </c>
      <c r="O891">
        <v>43</v>
      </c>
      <c r="P891" t="str">
        <f t="shared" si="27"/>
        <v>adult</v>
      </c>
      <c r="Q891" t="s">
        <v>1559</v>
      </c>
      <c r="R891" t="s">
        <v>1563</v>
      </c>
      <c r="S891" t="s">
        <v>1569</v>
      </c>
      <c r="T891">
        <v>221331</v>
      </c>
      <c r="U891">
        <v>5</v>
      </c>
      <c r="V891" t="s">
        <v>1586</v>
      </c>
      <c r="W891" t="s">
        <v>1591</v>
      </c>
      <c r="X891">
        <v>9.67</v>
      </c>
    </row>
    <row r="892" spans="1:24" x14ac:dyDescent="0.25">
      <c r="A892" t="s">
        <v>912</v>
      </c>
      <c r="B892" s="4">
        <v>45774</v>
      </c>
      <c r="C892" s="4" t="str">
        <f t="shared" si="26"/>
        <v>Apr</v>
      </c>
      <c r="D892" t="s">
        <v>1522</v>
      </c>
      <c r="E892" t="s">
        <v>1523</v>
      </c>
      <c r="F892" t="s">
        <v>1536</v>
      </c>
      <c r="G892" t="s">
        <v>1543</v>
      </c>
      <c r="H892" t="s">
        <v>1551</v>
      </c>
      <c r="I892">
        <v>2025</v>
      </c>
      <c r="J892" t="s">
        <v>1554</v>
      </c>
      <c r="K892" t="s">
        <v>1556</v>
      </c>
      <c r="L892">
        <v>941601</v>
      </c>
      <c r="M892">
        <v>810149</v>
      </c>
      <c r="N892">
        <v>131452</v>
      </c>
      <c r="O892">
        <v>46</v>
      </c>
      <c r="P892" t="str">
        <f t="shared" si="27"/>
        <v>adult</v>
      </c>
      <c r="Q892" t="s">
        <v>1558</v>
      </c>
      <c r="R892" t="s">
        <v>1564</v>
      </c>
      <c r="S892" t="s">
        <v>1568</v>
      </c>
      <c r="T892">
        <v>105336</v>
      </c>
      <c r="U892">
        <v>5</v>
      </c>
      <c r="V892" t="s">
        <v>1573</v>
      </c>
      <c r="W892" t="s">
        <v>1592</v>
      </c>
      <c r="X892">
        <v>13.96</v>
      </c>
    </row>
    <row r="893" spans="1:24" x14ac:dyDescent="0.25">
      <c r="A893" t="s">
        <v>913</v>
      </c>
      <c r="B893" s="4">
        <v>45907</v>
      </c>
      <c r="C893" s="4" t="str">
        <f t="shared" si="26"/>
        <v>Sep</v>
      </c>
      <c r="D893" t="s">
        <v>1522</v>
      </c>
      <c r="E893" t="s">
        <v>1524</v>
      </c>
      <c r="F893" t="s">
        <v>1529</v>
      </c>
      <c r="G893" t="s">
        <v>1545</v>
      </c>
      <c r="H893" t="s">
        <v>1551</v>
      </c>
      <c r="I893">
        <v>2025</v>
      </c>
      <c r="J893" t="s">
        <v>1554</v>
      </c>
      <c r="K893" t="s">
        <v>1556</v>
      </c>
      <c r="L893">
        <v>977198</v>
      </c>
      <c r="M893">
        <v>854200</v>
      </c>
      <c r="N893">
        <v>122998</v>
      </c>
      <c r="O893">
        <v>47</v>
      </c>
      <c r="P893" t="str">
        <f t="shared" si="27"/>
        <v>adult</v>
      </c>
      <c r="Q893" t="s">
        <v>1559</v>
      </c>
      <c r="R893" t="s">
        <v>1565</v>
      </c>
      <c r="S893" t="s">
        <v>1568</v>
      </c>
      <c r="T893">
        <v>35488</v>
      </c>
      <c r="U893">
        <v>5</v>
      </c>
      <c r="V893" t="s">
        <v>1577</v>
      </c>
      <c r="W893" t="s">
        <v>1594</v>
      </c>
      <c r="X893">
        <v>12.59</v>
      </c>
    </row>
    <row r="894" spans="1:24" x14ac:dyDescent="0.25">
      <c r="A894" t="s">
        <v>914</v>
      </c>
      <c r="B894" s="4">
        <v>45663</v>
      </c>
      <c r="C894" s="4" t="str">
        <f t="shared" si="26"/>
        <v>Jan</v>
      </c>
      <c r="D894" t="s">
        <v>1522</v>
      </c>
      <c r="E894" t="s">
        <v>1526</v>
      </c>
      <c r="F894" t="s">
        <v>1532</v>
      </c>
      <c r="G894" t="s">
        <v>1541</v>
      </c>
      <c r="H894" t="s">
        <v>1551</v>
      </c>
      <c r="I894">
        <v>2026</v>
      </c>
      <c r="J894" t="s">
        <v>1554</v>
      </c>
      <c r="K894" t="s">
        <v>1556</v>
      </c>
      <c r="L894">
        <v>1045542</v>
      </c>
      <c r="M894">
        <v>976614</v>
      </c>
      <c r="N894">
        <v>68928</v>
      </c>
      <c r="O894">
        <v>57</v>
      </c>
      <c r="P894" t="str">
        <f t="shared" si="27"/>
        <v>senior</v>
      </c>
      <c r="Q894" t="s">
        <v>1559</v>
      </c>
      <c r="R894" t="s">
        <v>1562</v>
      </c>
      <c r="S894" t="s">
        <v>1568</v>
      </c>
      <c r="T894">
        <v>1645497</v>
      </c>
      <c r="U894">
        <v>4</v>
      </c>
      <c r="V894" t="s">
        <v>1571</v>
      </c>
      <c r="W894" t="s">
        <v>1591</v>
      </c>
      <c r="X894">
        <v>6.59</v>
      </c>
    </row>
    <row r="895" spans="1:24" x14ac:dyDescent="0.25">
      <c r="A895" t="s">
        <v>915</v>
      </c>
      <c r="B895" s="4">
        <v>45737</v>
      </c>
      <c r="C895" s="4" t="str">
        <f t="shared" si="26"/>
        <v>Mar</v>
      </c>
      <c r="D895" t="s">
        <v>1522</v>
      </c>
      <c r="E895" t="s">
        <v>1523</v>
      </c>
      <c r="F895" t="s">
        <v>1529</v>
      </c>
      <c r="G895" t="s">
        <v>1547</v>
      </c>
      <c r="H895" t="s">
        <v>1550</v>
      </c>
      <c r="I895">
        <v>2024</v>
      </c>
      <c r="J895" t="s">
        <v>1554</v>
      </c>
      <c r="K895" t="s">
        <v>1557</v>
      </c>
      <c r="L895">
        <v>1167759</v>
      </c>
      <c r="M895">
        <v>1040306</v>
      </c>
      <c r="N895">
        <v>127453</v>
      </c>
      <c r="O895">
        <v>24</v>
      </c>
      <c r="P895" t="str">
        <f t="shared" si="27"/>
        <v>young</v>
      </c>
      <c r="Q895" t="s">
        <v>1559</v>
      </c>
      <c r="R895" t="s">
        <v>1565</v>
      </c>
      <c r="S895" t="s">
        <v>1567</v>
      </c>
      <c r="T895">
        <v>139335</v>
      </c>
      <c r="U895">
        <v>1</v>
      </c>
      <c r="V895" t="s">
        <v>1588</v>
      </c>
      <c r="W895" t="s">
        <v>1591</v>
      </c>
      <c r="X895">
        <v>10.91</v>
      </c>
    </row>
    <row r="896" spans="1:24" x14ac:dyDescent="0.25">
      <c r="A896" t="s">
        <v>916</v>
      </c>
      <c r="B896" s="4">
        <v>45660</v>
      </c>
      <c r="C896" s="4" t="str">
        <f t="shared" si="26"/>
        <v>Jan</v>
      </c>
      <c r="D896" t="s">
        <v>1522</v>
      </c>
      <c r="E896" t="s">
        <v>1525</v>
      </c>
      <c r="F896" t="s">
        <v>1534</v>
      </c>
      <c r="G896" t="s">
        <v>1548</v>
      </c>
      <c r="H896" t="s">
        <v>1550</v>
      </c>
      <c r="I896">
        <v>2025</v>
      </c>
      <c r="J896" t="s">
        <v>1554</v>
      </c>
      <c r="K896" t="s">
        <v>1557</v>
      </c>
      <c r="L896">
        <v>1443394</v>
      </c>
      <c r="M896">
        <v>1222306</v>
      </c>
      <c r="N896">
        <v>221088</v>
      </c>
      <c r="O896">
        <v>46</v>
      </c>
      <c r="P896" t="str">
        <f t="shared" si="27"/>
        <v>adult</v>
      </c>
      <c r="Q896" t="s">
        <v>1558</v>
      </c>
      <c r="R896" t="s">
        <v>1561</v>
      </c>
      <c r="S896" t="s">
        <v>1570</v>
      </c>
      <c r="T896">
        <v>1676579</v>
      </c>
      <c r="U896">
        <v>5</v>
      </c>
      <c r="V896" t="s">
        <v>1571</v>
      </c>
      <c r="W896" t="s">
        <v>1591</v>
      </c>
      <c r="X896">
        <v>15.32</v>
      </c>
    </row>
    <row r="897" spans="1:24" x14ac:dyDescent="0.25">
      <c r="A897" t="s">
        <v>917</v>
      </c>
      <c r="B897" s="4">
        <v>46119</v>
      </c>
      <c r="C897" s="4" t="str">
        <f t="shared" si="26"/>
        <v>Apr</v>
      </c>
      <c r="D897" t="s">
        <v>1522</v>
      </c>
      <c r="E897" t="s">
        <v>1527</v>
      </c>
      <c r="F897" t="s">
        <v>1530</v>
      </c>
      <c r="G897" t="s">
        <v>1538</v>
      </c>
      <c r="H897" t="s">
        <v>1550</v>
      </c>
      <c r="I897">
        <v>2023</v>
      </c>
      <c r="J897" t="s">
        <v>1554</v>
      </c>
      <c r="K897" t="s">
        <v>1556</v>
      </c>
      <c r="L897">
        <v>1265145</v>
      </c>
      <c r="M897">
        <v>1043299</v>
      </c>
      <c r="N897">
        <v>221846</v>
      </c>
      <c r="O897">
        <v>26</v>
      </c>
      <c r="P897" t="str">
        <f t="shared" si="27"/>
        <v>young</v>
      </c>
      <c r="Q897" t="s">
        <v>1558</v>
      </c>
      <c r="R897" t="s">
        <v>1563</v>
      </c>
      <c r="S897" t="s">
        <v>1567</v>
      </c>
      <c r="T897">
        <v>864409</v>
      </c>
      <c r="U897">
        <v>5</v>
      </c>
      <c r="V897" t="s">
        <v>1580</v>
      </c>
      <c r="W897" t="s">
        <v>1592</v>
      </c>
      <c r="X897">
        <v>17.54</v>
      </c>
    </row>
    <row r="898" spans="1:24" x14ac:dyDescent="0.25">
      <c r="A898" t="s">
        <v>918</v>
      </c>
      <c r="B898" s="4">
        <v>45778</v>
      </c>
      <c r="C898" s="4" t="str">
        <f t="shared" si="26"/>
        <v>May</v>
      </c>
      <c r="D898" t="s">
        <v>1522</v>
      </c>
      <c r="E898" t="s">
        <v>1525</v>
      </c>
      <c r="F898" t="s">
        <v>1534</v>
      </c>
      <c r="G898" t="s">
        <v>1544</v>
      </c>
      <c r="H898" t="s">
        <v>1552</v>
      </c>
      <c r="I898">
        <v>2023</v>
      </c>
      <c r="J898" t="s">
        <v>1555</v>
      </c>
      <c r="K898" t="s">
        <v>1556</v>
      </c>
      <c r="L898">
        <v>1961095</v>
      </c>
      <c r="M898">
        <v>1759223</v>
      </c>
      <c r="N898">
        <v>201872</v>
      </c>
      <c r="O898">
        <v>54</v>
      </c>
      <c r="P898" t="str">
        <f t="shared" si="27"/>
        <v>senior</v>
      </c>
      <c r="Q898" t="s">
        <v>1558</v>
      </c>
      <c r="R898" t="s">
        <v>1566</v>
      </c>
      <c r="S898" t="s">
        <v>1569</v>
      </c>
      <c r="T898">
        <v>819478</v>
      </c>
      <c r="U898">
        <v>4</v>
      </c>
      <c r="V898" t="s">
        <v>1572</v>
      </c>
      <c r="W898" t="s">
        <v>1592</v>
      </c>
      <c r="X898">
        <v>10.29</v>
      </c>
    </row>
    <row r="899" spans="1:24" x14ac:dyDescent="0.25">
      <c r="A899" t="s">
        <v>919</v>
      </c>
      <c r="B899" s="4">
        <v>45833</v>
      </c>
      <c r="C899" s="4" t="str">
        <f t="shared" ref="C899:C962" si="28">TEXT(B899,"MMM")</f>
        <v>Jun</v>
      </c>
      <c r="D899" t="s">
        <v>1522</v>
      </c>
      <c r="E899" t="s">
        <v>1526</v>
      </c>
      <c r="F899" t="s">
        <v>1535</v>
      </c>
      <c r="G899" t="s">
        <v>1545</v>
      </c>
      <c r="H899" t="s">
        <v>1550</v>
      </c>
      <c r="I899">
        <v>2025</v>
      </c>
      <c r="J899" t="s">
        <v>1554</v>
      </c>
      <c r="K899" t="s">
        <v>1556</v>
      </c>
      <c r="L899">
        <v>1366700</v>
      </c>
      <c r="M899">
        <v>1131886</v>
      </c>
      <c r="N899">
        <v>234814</v>
      </c>
      <c r="O899">
        <v>58</v>
      </c>
      <c r="P899" t="str">
        <f t="shared" ref="P899:P962" si="29">IF(O899&gt;50,"senior",IF(O899&gt;30,"adult","young"))</f>
        <v>senior</v>
      </c>
      <c r="Q899" t="s">
        <v>1558</v>
      </c>
      <c r="R899" t="s">
        <v>1565</v>
      </c>
      <c r="S899" t="s">
        <v>1569</v>
      </c>
      <c r="T899">
        <v>554383</v>
      </c>
      <c r="U899">
        <v>4</v>
      </c>
      <c r="V899" t="s">
        <v>1584</v>
      </c>
      <c r="W899" t="s">
        <v>1592</v>
      </c>
      <c r="X899">
        <v>17.18</v>
      </c>
    </row>
    <row r="900" spans="1:24" x14ac:dyDescent="0.25">
      <c r="A900" t="s">
        <v>920</v>
      </c>
      <c r="B900" s="4">
        <v>46097</v>
      </c>
      <c r="C900" s="4" t="str">
        <f t="shared" si="28"/>
        <v>Mar</v>
      </c>
      <c r="D900" t="s">
        <v>1522</v>
      </c>
      <c r="E900" t="s">
        <v>1523</v>
      </c>
      <c r="F900" t="s">
        <v>1533</v>
      </c>
      <c r="G900" t="s">
        <v>1540</v>
      </c>
      <c r="H900" t="s">
        <v>1550</v>
      </c>
      <c r="I900">
        <v>2026</v>
      </c>
      <c r="J900" t="s">
        <v>1554</v>
      </c>
      <c r="K900" t="s">
        <v>1557</v>
      </c>
      <c r="L900">
        <v>1682461</v>
      </c>
      <c r="M900">
        <v>1504317</v>
      </c>
      <c r="N900">
        <v>178144</v>
      </c>
      <c r="O900">
        <v>38</v>
      </c>
      <c r="P900" t="str">
        <f t="shared" si="29"/>
        <v>adult</v>
      </c>
      <c r="Q900" t="s">
        <v>1558</v>
      </c>
      <c r="R900" t="s">
        <v>1561</v>
      </c>
      <c r="S900" t="s">
        <v>1569</v>
      </c>
      <c r="T900">
        <v>1502658</v>
      </c>
      <c r="U900">
        <v>3</v>
      </c>
      <c r="V900" t="s">
        <v>1586</v>
      </c>
      <c r="W900" t="s">
        <v>1591</v>
      </c>
      <c r="X900">
        <v>10.59</v>
      </c>
    </row>
    <row r="901" spans="1:24" x14ac:dyDescent="0.25">
      <c r="A901" t="s">
        <v>921</v>
      </c>
      <c r="B901" s="4">
        <v>46136</v>
      </c>
      <c r="C901" s="4" t="str">
        <f t="shared" si="28"/>
        <v>Apr</v>
      </c>
      <c r="D901" t="s">
        <v>1522</v>
      </c>
      <c r="E901" t="s">
        <v>1523</v>
      </c>
      <c r="F901" t="s">
        <v>1537</v>
      </c>
      <c r="G901" t="s">
        <v>1546</v>
      </c>
      <c r="H901" t="s">
        <v>1550</v>
      </c>
      <c r="I901">
        <v>2024</v>
      </c>
      <c r="J901" t="s">
        <v>1554</v>
      </c>
      <c r="K901" t="s">
        <v>1557</v>
      </c>
      <c r="L901">
        <v>1428181</v>
      </c>
      <c r="M901">
        <v>1302284</v>
      </c>
      <c r="N901">
        <v>125897</v>
      </c>
      <c r="O901">
        <v>61</v>
      </c>
      <c r="P901" t="str">
        <f t="shared" si="29"/>
        <v>senior</v>
      </c>
      <c r="Q901" t="s">
        <v>1558</v>
      </c>
      <c r="R901" t="s">
        <v>1561</v>
      </c>
      <c r="S901" t="s">
        <v>1568</v>
      </c>
      <c r="T901">
        <v>1327929</v>
      </c>
      <c r="U901">
        <v>5</v>
      </c>
      <c r="V901" t="s">
        <v>1580</v>
      </c>
      <c r="W901" t="s">
        <v>1592</v>
      </c>
      <c r="X901">
        <v>8.82</v>
      </c>
    </row>
    <row r="902" spans="1:24" x14ac:dyDescent="0.25">
      <c r="A902" t="s">
        <v>922</v>
      </c>
      <c r="B902" s="4">
        <v>45828</v>
      </c>
      <c r="C902" s="4" t="str">
        <f t="shared" si="28"/>
        <v>Jun</v>
      </c>
      <c r="D902" t="s">
        <v>1522</v>
      </c>
      <c r="E902" t="s">
        <v>1525</v>
      </c>
      <c r="F902" t="s">
        <v>1532</v>
      </c>
      <c r="G902" t="s">
        <v>1538</v>
      </c>
      <c r="H902" t="s">
        <v>1550</v>
      </c>
      <c r="I902">
        <v>2025</v>
      </c>
      <c r="J902" t="s">
        <v>1554</v>
      </c>
      <c r="K902" t="s">
        <v>1557</v>
      </c>
      <c r="L902">
        <v>1471199</v>
      </c>
      <c r="M902">
        <v>1238432</v>
      </c>
      <c r="N902">
        <v>232767</v>
      </c>
      <c r="O902">
        <v>41</v>
      </c>
      <c r="P902" t="str">
        <f t="shared" si="29"/>
        <v>adult</v>
      </c>
      <c r="Q902" t="s">
        <v>1558</v>
      </c>
      <c r="R902" t="s">
        <v>1565</v>
      </c>
      <c r="S902" t="s">
        <v>1569</v>
      </c>
      <c r="T902">
        <v>203401</v>
      </c>
      <c r="U902">
        <v>5</v>
      </c>
      <c r="V902" t="s">
        <v>1584</v>
      </c>
      <c r="W902" t="s">
        <v>1592</v>
      </c>
      <c r="X902">
        <v>15.82</v>
      </c>
    </row>
    <row r="903" spans="1:24" x14ac:dyDescent="0.25">
      <c r="A903" t="s">
        <v>923</v>
      </c>
      <c r="B903" s="4">
        <v>46144</v>
      </c>
      <c r="C903" s="4" t="str">
        <f t="shared" si="28"/>
        <v>May</v>
      </c>
      <c r="D903" t="s">
        <v>1522</v>
      </c>
      <c r="E903" t="s">
        <v>1527</v>
      </c>
      <c r="F903" t="s">
        <v>1531</v>
      </c>
      <c r="G903" t="s">
        <v>1542</v>
      </c>
      <c r="H903" t="s">
        <v>1552</v>
      </c>
      <c r="I903">
        <v>2026</v>
      </c>
      <c r="J903" t="s">
        <v>1555</v>
      </c>
      <c r="K903" t="s">
        <v>1556</v>
      </c>
      <c r="L903">
        <v>2013039</v>
      </c>
      <c r="M903">
        <v>1727962</v>
      </c>
      <c r="N903">
        <v>285077</v>
      </c>
      <c r="O903">
        <v>50</v>
      </c>
      <c r="P903" t="str">
        <f t="shared" si="29"/>
        <v>adult</v>
      </c>
      <c r="Q903" t="s">
        <v>1558</v>
      </c>
      <c r="R903" t="s">
        <v>1561</v>
      </c>
      <c r="S903" t="s">
        <v>1568</v>
      </c>
      <c r="T903">
        <v>1892005</v>
      </c>
      <c r="U903">
        <v>3</v>
      </c>
      <c r="V903" t="s">
        <v>1590</v>
      </c>
      <c r="W903" t="s">
        <v>1592</v>
      </c>
      <c r="X903">
        <v>14.16</v>
      </c>
    </row>
    <row r="904" spans="1:24" x14ac:dyDescent="0.25">
      <c r="A904" t="s">
        <v>924</v>
      </c>
      <c r="B904" s="4">
        <v>46112</v>
      </c>
      <c r="C904" s="4" t="str">
        <f t="shared" si="28"/>
        <v>Mar</v>
      </c>
      <c r="D904" t="s">
        <v>1522</v>
      </c>
      <c r="E904" t="s">
        <v>1525</v>
      </c>
      <c r="F904" t="s">
        <v>1533</v>
      </c>
      <c r="G904" t="s">
        <v>1547</v>
      </c>
      <c r="H904" t="s">
        <v>1551</v>
      </c>
      <c r="I904">
        <v>2023</v>
      </c>
      <c r="J904" t="s">
        <v>1554</v>
      </c>
      <c r="K904" t="s">
        <v>1557</v>
      </c>
      <c r="L904">
        <v>902476</v>
      </c>
      <c r="M904">
        <v>803275</v>
      </c>
      <c r="N904">
        <v>99201</v>
      </c>
      <c r="O904">
        <v>30</v>
      </c>
      <c r="P904" t="str">
        <f t="shared" si="29"/>
        <v>young</v>
      </c>
      <c r="Q904" t="s">
        <v>1558</v>
      </c>
      <c r="R904" t="s">
        <v>1566</v>
      </c>
      <c r="S904" t="s">
        <v>1570</v>
      </c>
      <c r="T904">
        <v>400909</v>
      </c>
      <c r="U904">
        <v>3</v>
      </c>
      <c r="V904" t="s">
        <v>1586</v>
      </c>
      <c r="W904" t="s">
        <v>1591</v>
      </c>
      <c r="X904">
        <v>10.99</v>
      </c>
    </row>
    <row r="905" spans="1:24" x14ac:dyDescent="0.25">
      <c r="A905" t="s">
        <v>925</v>
      </c>
      <c r="B905" s="4">
        <v>45948</v>
      </c>
      <c r="C905" s="4" t="str">
        <f t="shared" si="28"/>
        <v>Oct</v>
      </c>
      <c r="D905" t="s">
        <v>1522</v>
      </c>
      <c r="E905" t="s">
        <v>1525</v>
      </c>
      <c r="F905" t="s">
        <v>1531</v>
      </c>
      <c r="G905" t="s">
        <v>1542</v>
      </c>
      <c r="H905" t="s">
        <v>4</v>
      </c>
      <c r="I905">
        <v>2026</v>
      </c>
      <c r="J905" t="s">
        <v>1554</v>
      </c>
      <c r="K905" t="s">
        <v>1557</v>
      </c>
      <c r="L905">
        <v>1346655</v>
      </c>
      <c r="M905">
        <v>1221414</v>
      </c>
      <c r="N905">
        <v>125241</v>
      </c>
      <c r="O905">
        <v>37</v>
      </c>
      <c r="P905" t="str">
        <f t="shared" si="29"/>
        <v>adult</v>
      </c>
      <c r="Q905" t="s">
        <v>1558</v>
      </c>
      <c r="R905" t="s">
        <v>1562</v>
      </c>
      <c r="S905" t="s">
        <v>1568</v>
      </c>
      <c r="T905">
        <v>1434023</v>
      </c>
      <c r="U905">
        <v>1</v>
      </c>
      <c r="V905" t="s">
        <v>1574</v>
      </c>
      <c r="W905" t="s">
        <v>1593</v>
      </c>
      <c r="X905">
        <v>9.3000000000000007</v>
      </c>
    </row>
    <row r="906" spans="1:24" x14ac:dyDescent="0.25">
      <c r="A906" t="s">
        <v>926</v>
      </c>
      <c r="B906" s="4">
        <v>46157</v>
      </c>
      <c r="C906" s="4" t="str">
        <f t="shared" si="28"/>
        <v>May</v>
      </c>
      <c r="D906" t="s">
        <v>1522</v>
      </c>
      <c r="E906" t="s">
        <v>1523</v>
      </c>
      <c r="F906" t="s">
        <v>1529</v>
      </c>
      <c r="G906" t="s">
        <v>1549</v>
      </c>
      <c r="H906" t="s">
        <v>4</v>
      </c>
      <c r="I906">
        <v>2025</v>
      </c>
      <c r="J906" t="s">
        <v>1554</v>
      </c>
      <c r="K906" t="s">
        <v>1556</v>
      </c>
      <c r="L906">
        <v>1793372</v>
      </c>
      <c r="M906">
        <v>1545830</v>
      </c>
      <c r="N906">
        <v>247542</v>
      </c>
      <c r="O906">
        <v>43</v>
      </c>
      <c r="P906" t="str">
        <f t="shared" si="29"/>
        <v>adult</v>
      </c>
      <c r="Q906" t="s">
        <v>1558</v>
      </c>
      <c r="R906" t="s">
        <v>1561</v>
      </c>
      <c r="S906" t="s">
        <v>1570</v>
      </c>
      <c r="T906">
        <v>557653</v>
      </c>
      <c r="U906">
        <v>4</v>
      </c>
      <c r="V906" t="s">
        <v>1590</v>
      </c>
      <c r="W906" t="s">
        <v>1592</v>
      </c>
      <c r="X906">
        <v>13.8</v>
      </c>
    </row>
    <row r="907" spans="1:24" x14ac:dyDescent="0.25">
      <c r="A907" t="s">
        <v>927</v>
      </c>
      <c r="B907" s="4">
        <v>45707</v>
      </c>
      <c r="C907" s="4" t="str">
        <f t="shared" si="28"/>
        <v>Feb</v>
      </c>
      <c r="D907" t="s">
        <v>1522</v>
      </c>
      <c r="E907" t="s">
        <v>1524</v>
      </c>
      <c r="F907" t="s">
        <v>1537</v>
      </c>
      <c r="G907" t="s">
        <v>1543</v>
      </c>
      <c r="H907" t="s">
        <v>1552</v>
      </c>
      <c r="I907">
        <v>2025</v>
      </c>
      <c r="J907" t="s">
        <v>1555</v>
      </c>
      <c r="K907" t="s">
        <v>1556</v>
      </c>
      <c r="L907">
        <v>1892352</v>
      </c>
      <c r="M907">
        <v>1766126</v>
      </c>
      <c r="N907">
        <v>126226</v>
      </c>
      <c r="O907">
        <v>41</v>
      </c>
      <c r="P907" t="str">
        <f t="shared" si="29"/>
        <v>adult</v>
      </c>
      <c r="Q907" t="s">
        <v>1558</v>
      </c>
      <c r="R907" t="s">
        <v>1563</v>
      </c>
      <c r="S907" t="s">
        <v>1570</v>
      </c>
      <c r="T907">
        <v>1142602</v>
      </c>
      <c r="U907">
        <v>4</v>
      </c>
      <c r="V907" t="s">
        <v>1578</v>
      </c>
      <c r="W907" t="s">
        <v>1591</v>
      </c>
      <c r="X907">
        <v>6.67</v>
      </c>
    </row>
    <row r="908" spans="1:24" x14ac:dyDescent="0.25">
      <c r="A908" t="s">
        <v>928</v>
      </c>
      <c r="B908" s="4">
        <v>46069</v>
      </c>
      <c r="C908" s="4" t="str">
        <f t="shared" si="28"/>
        <v>Feb</v>
      </c>
      <c r="D908" t="s">
        <v>1522</v>
      </c>
      <c r="E908" t="s">
        <v>1526</v>
      </c>
      <c r="F908" t="s">
        <v>1534</v>
      </c>
      <c r="G908" t="s">
        <v>1548</v>
      </c>
      <c r="H908" t="s">
        <v>4</v>
      </c>
      <c r="I908">
        <v>2024</v>
      </c>
      <c r="J908" t="s">
        <v>1554</v>
      </c>
      <c r="K908" t="s">
        <v>1557</v>
      </c>
      <c r="L908">
        <v>1538543</v>
      </c>
      <c r="M908">
        <v>1380460</v>
      </c>
      <c r="N908">
        <v>158083</v>
      </c>
      <c r="O908">
        <v>56</v>
      </c>
      <c r="P908" t="str">
        <f t="shared" si="29"/>
        <v>senior</v>
      </c>
      <c r="Q908" t="s">
        <v>1558</v>
      </c>
      <c r="R908" t="s">
        <v>1561</v>
      </c>
      <c r="S908" t="s">
        <v>1568</v>
      </c>
      <c r="T908">
        <v>2110735</v>
      </c>
      <c r="U908">
        <v>5</v>
      </c>
      <c r="V908" t="s">
        <v>1589</v>
      </c>
      <c r="W908" t="s">
        <v>1591</v>
      </c>
      <c r="X908">
        <v>10.27</v>
      </c>
    </row>
    <row r="909" spans="1:24" x14ac:dyDescent="0.25">
      <c r="A909" t="s">
        <v>929</v>
      </c>
      <c r="B909" s="4">
        <v>46145</v>
      </c>
      <c r="C909" s="4" t="str">
        <f t="shared" si="28"/>
        <v>May</v>
      </c>
      <c r="D909" t="s">
        <v>1522</v>
      </c>
      <c r="E909" t="s">
        <v>1526</v>
      </c>
      <c r="F909" t="s">
        <v>1534</v>
      </c>
      <c r="G909" t="s">
        <v>1545</v>
      </c>
      <c r="H909" t="s">
        <v>1552</v>
      </c>
      <c r="I909">
        <v>2026</v>
      </c>
      <c r="J909" t="s">
        <v>1555</v>
      </c>
      <c r="K909" t="s">
        <v>1556</v>
      </c>
      <c r="L909">
        <v>1945892</v>
      </c>
      <c r="M909">
        <v>1590388</v>
      </c>
      <c r="N909">
        <v>355504</v>
      </c>
      <c r="O909">
        <v>65</v>
      </c>
      <c r="P909" t="str">
        <f t="shared" si="29"/>
        <v>senior</v>
      </c>
      <c r="Q909" t="s">
        <v>1558</v>
      </c>
      <c r="R909" t="s">
        <v>1561</v>
      </c>
      <c r="S909" t="s">
        <v>1569</v>
      </c>
      <c r="T909">
        <v>2149644</v>
      </c>
      <c r="U909">
        <v>1</v>
      </c>
      <c r="V909" t="s">
        <v>1590</v>
      </c>
      <c r="W909" t="s">
        <v>1592</v>
      </c>
      <c r="X909">
        <v>18.27</v>
      </c>
    </row>
    <row r="910" spans="1:24" x14ac:dyDescent="0.25">
      <c r="A910" t="s">
        <v>930</v>
      </c>
      <c r="B910" s="4">
        <v>46078</v>
      </c>
      <c r="C910" s="4" t="str">
        <f t="shared" si="28"/>
        <v>Feb</v>
      </c>
      <c r="D910" t="s">
        <v>1522</v>
      </c>
      <c r="E910" t="s">
        <v>1523</v>
      </c>
      <c r="F910" t="s">
        <v>1536</v>
      </c>
      <c r="G910" t="s">
        <v>1543</v>
      </c>
      <c r="H910" t="s">
        <v>4</v>
      </c>
      <c r="I910">
        <v>2026</v>
      </c>
      <c r="J910" t="s">
        <v>1554</v>
      </c>
      <c r="K910" t="s">
        <v>1556</v>
      </c>
      <c r="L910">
        <v>1474182</v>
      </c>
      <c r="M910">
        <v>1238602</v>
      </c>
      <c r="N910">
        <v>235580</v>
      </c>
      <c r="O910">
        <v>53</v>
      </c>
      <c r="P910" t="str">
        <f t="shared" si="29"/>
        <v>senior</v>
      </c>
      <c r="Q910" t="s">
        <v>1559</v>
      </c>
      <c r="R910" t="s">
        <v>1561</v>
      </c>
      <c r="S910" t="s">
        <v>1567</v>
      </c>
      <c r="T910">
        <v>1214075</v>
      </c>
      <c r="U910">
        <v>4</v>
      </c>
      <c r="V910" t="s">
        <v>1589</v>
      </c>
      <c r="W910" t="s">
        <v>1591</v>
      </c>
      <c r="X910">
        <v>15.98</v>
      </c>
    </row>
    <row r="911" spans="1:24" x14ac:dyDescent="0.25">
      <c r="A911" t="s">
        <v>931</v>
      </c>
      <c r="B911" s="4">
        <v>45735</v>
      </c>
      <c r="C911" s="4" t="str">
        <f t="shared" si="28"/>
        <v>Mar</v>
      </c>
      <c r="D911" t="s">
        <v>1522</v>
      </c>
      <c r="E911" t="s">
        <v>1527</v>
      </c>
      <c r="F911" t="s">
        <v>1530</v>
      </c>
      <c r="G911" t="s">
        <v>1541</v>
      </c>
      <c r="H911" t="s">
        <v>1552</v>
      </c>
      <c r="I911">
        <v>2024</v>
      </c>
      <c r="J911" t="s">
        <v>1555</v>
      </c>
      <c r="K911" t="s">
        <v>1556</v>
      </c>
      <c r="L911">
        <v>1914482</v>
      </c>
      <c r="M911">
        <v>1637772</v>
      </c>
      <c r="N911">
        <v>276710</v>
      </c>
      <c r="O911">
        <v>35</v>
      </c>
      <c r="P911" t="str">
        <f t="shared" si="29"/>
        <v>adult</v>
      </c>
      <c r="Q911" t="s">
        <v>1559</v>
      </c>
      <c r="R911" t="s">
        <v>1565</v>
      </c>
      <c r="S911" t="s">
        <v>1567</v>
      </c>
      <c r="T911">
        <v>273685</v>
      </c>
      <c r="U911">
        <v>4</v>
      </c>
      <c r="V911" t="s">
        <v>1588</v>
      </c>
      <c r="W911" t="s">
        <v>1591</v>
      </c>
      <c r="X911">
        <v>14.45</v>
      </c>
    </row>
    <row r="912" spans="1:24" x14ac:dyDescent="0.25">
      <c r="A912" t="s">
        <v>932</v>
      </c>
      <c r="B912" s="4">
        <v>46151</v>
      </c>
      <c r="C912" s="4" t="str">
        <f t="shared" si="28"/>
        <v>May</v>
      </c>
      <c r="D912" t="s">
        <v>1522</v>
      </c>
      <c r="E912" t="s">
        <v>1523</v>
      </c>
      <c r="F912" t="s">
        <v>1528</v>
      </c>
      <c r="G912" t="s">
        <v>1543</v>
      </c>
      <c r="H912" t="s">
        <v>4</v>
      </c>
      <c r="I912">
        <v>2024</v>
      </c>
      <c r="J912" t="s">
        <v>1554</v>
      </c>
      <c r="K912" t="s">
        <v>1556</v>
      </c>
      <c r="L912">
        <v>1689841</v>
      </c>
      <c r="M912">
        <v>1491172</v>
      </c>
      <c r="N912">
        <v>198669</v>
      </c>
      <c r="O912">
        <v>39</v>
      </c>
      <c r="P912" t="str">
        <f t="shared" si="29"/>
        <v>adult</v>
      </c>
      <c r="Q912" t="s">
        <v>1558</v>
      </c>
      <c r="R912" t="s">
        <v>1566</v>
      </c>
      <c r="S912" t="s">
        <v>1568</v>
      </c>
      <c r="T912">
        <v>1972679</v>
      </c>
      <c r="U912">
        <v>1</v>
      </c>
      <c r="V912" t="s">
        <v>1590</v>
      </c>
      <c r="W912" t="s">
        <v>1592</v>
      </c>
      <c r="X912">
        <v>11.76</v>
      </c>
    </row>
    <row r="913" spans="1:24" x14ac:dyDescent="0.25">
      <c r="A913" t="s">
        <v>933</v>
      </c>
      <c r="B913" s="4">
        <v>46248</v>
      </c>
      <c r="C913" s="4" t="str">
        <f t="shared" si="28"/>
        <v>Aug</v>
      </c>
      <c r="D913" t="s">
        <v>1522</v>
      </c>
      <c r="E913" t="s">
        <v>1524</v>
      </c>
      <c r="F913" t="s">
        <v>1536</v>
      </c>
      <c r="G913" t="s">
        <v>1543</v>
      </c>
      <c r="H913" t="s">
        <v>4</v>
      </c>
      <c r="I913">
        <v>2025</v>
      </c>
      <c r="J913" t="s">
        <v>1554</v>
      </c>
      <c r="K913" t="s">
        <v>1556</v>
      </c>
      <c r="L913">
        <v>1878470</v>
      </c>
      <c r="M913">
        <v>1735031</v>
      </c>
      <c r="N913">
        <v>143439</v>
      </c>
      <c r="O913">
        <v>49</v>
      </c>
      <c r="P913" t="str">
        <f t="shared" si="29"/>
        <v>adult</v>
      </c>
      <c r="Q913" t="s">
        <v>1559</v>
      </c>
      <c r="R913" t="s">
        <v>1562</v>
      </c>
      <c r="S913" t="s">
        <v>1568</v>
      </c>
      <c r="T913">
        <v>1321125</v>
      </c>
      <c r="U913">
        <v>2</v>
      </c>
      <c r="V913" t="s">
        <v>1576</v>
      </c>
      <c r="W913" t="s">
        <v>1594</v>
      </c>
      <c r="X913">
        <v>7.64</v>
      </c>
    </row>
    <row r="914" spans="1:24" x14ac:dyDescent="0.25">
      <c r="A914" t="s">
        <v>934</v>
      </c>
      <c r="B914" s="4">
        <v>46183</v>
      </c>
      <c r="C914" s="4" t="str">
        <f t="shared" si="28"/>
        <v>Jun</v>
      </c>
      <c r="D914" t="s">
        <v>1522</v>
      </c>
      <c r="E914" t="s">
        <v>1526</v>
      </c>
      <c r="F914" t="s">
        <v>1536</v>
      </c>
      <c r="G914" t="s">
        <v>1543</v>
      </c>
      <c r="H914" t="s">
        <v>1550</v>
      </c>
      <c r="I914">
        <v>2025</v>
      </c>
      <c r="J914" t="s">
        <v>1554</v>
      </c>
      <c r="K914" t="s">
        <v>1557</v>
      </c>
      <c r="L914">
        <v>1584218</v>
      </c>
      <c r="M914">
        <v>1424510</v>
      </c>
      <c r="N914">
        <v>159708</v>
      </c>
      <c r="O914">
        <v>65</v>
      </c>
      <c r="P914" t="str">
        <f t="shared" si="29"/>
        <v>senior</v>
      </c>
      <c r="Q914" t="s">
        <v>1559</v>
      </c>
      <c r="R914" t="s">
        <v>1561</v>
      </c>
      <c r="S914" t="s">
        <v>1568</v>
      </c>
      <c r="T914">
        <v>80131</v>
      </c>
      <c r="U914">
        <v>1</v>
      </c>
      <c r="V914" t="s">
        <v>1582</v>
      </c>
      <c r="W914" t="s">
        <v>1592</v>
      </c>
      <c r="X914">
        <v>10.08</v>
      </c>
    </row>
    <row r="915" spans="1:24" x14ac:dyDescent="0.25">
      <c r="A915" t="s">
        <v>935</v>
      </c>
      <c r="B915" s="4">
        <v>45819</v>
      </c>
      <c r="C915" s="4" t="str">
        <f t="shared" si="28"/>
        <v>Jun</v>
      </c>
      <c r="D915" t="s">
        <v>1522</v>
      </c>
      <c r="E915" t="s">
        <v>1523</v>
      </c>
      <c r="F915" t="s">
        <v>1531</v>
      </c>
      <c r="G915" t="s">
        <v>1543</v>
      </c>
      <c r="H915" t="s">
        <v>1551</v>
      </c>
      <c r="I915">
        <v>2023</v>
      </c>
      <c r="J915" t="s">
        <v>1554</v>
      </c>
      <c r="K915" t="s">
        <v>1557</v>
      </c>
      <c r="L915">
        <v>814388</v>
      </c>
      <c r="M915">
        <v>769842</v>
      </c>
      <c r="N915">
        <v>44546</v>
      </c>
      <c r="O915">
        <v>23</v>
      </c>
      <c r="P915" t="str">
        <f t="shared" si="29"/>
        <v>young</v>
      </c>
      <c r="Q915" t="s">
        <v>1559</v>
      </c>
      <c r="R915" t="s">
        <v>1563</v>
      </c>
      <c r="S915" t="s">
        <v>1568</v>
      </c>
      <c r="T915">
        <v>1479527</v>
      </c>
      <c r="U915">
        <v>4</v>
      </c>
      <c r="V915" t="s">
        <v>1584</v>
      </c>
      <c r="W915" t="s">
        <v>1592</v>
      </c>
      <c r="X915">
        <v>5.47</v>
      </c>
    </row>
    <row r="916" spans="1:24" x14ac:dyDescent="0.25">
      <c r="A916" t="s">
        <v>936</v>
      </c>
      <c r="B916" s="4">
        <v>45834</v>
      </c>
      <c r="C916" s="4" t="str">
        <f t="shared" si="28"/>
        <v>Jun</v>
      </c>
      <c r="D916" t="s">
        <v>1522</v>
      </c>
      <c r="E916" t="s">
        <v>1526</v>
      </c>
      <c r="F916" t="s">
        <v>1532</v>
      </c>
      <c r="G916" t="s">
        <v>1548</v>
      </c>
      <c r="H916" t="s">
        <v>1551</v>
      </c>
      <c r="I916">
        <v>2026</v>
      </c>
      <c r="J916" t="s">
        <v>1554</v>
      </c>
      <c r="K916" t="s">
        <v>1556</v>
      </c>
      <c r="L916">
        <v>898161</v>
      </c>
      <c r="M916">
        <v>778921</v>
      </c>
      <c r="N916">
        <v>119240</v>
      </c>
      <c r="O916">
        <v>31</v>
      </c>
      <c r="P916" t="str">
        <f t="shared" si="29"/>
        <v>adult</v>
      </c>
      <c r="Q916" t="s">
        <v>1558</v>
      </c>
      <c r="R916" t="s">
        <v>1566</v>
      </c>
      <c r="S916" t="s">
        <v>1567</v>
      </c>
      <c r="T916">
        <v>1645826</v>
      </c>
      <c r="U916">
        <v>4</v>
      </c>
      <c r="V916" t="s">
        <v>1584</v>
      </c>
      <c r="W916" t="s">
        <v>1592</v>
      </c>
      <c r="X916">
        <v>13.28</v>
      </c>
    </row>
    <row r="917" spans="1:24" x14ac:dyDescent="0.25">
      <c r="A917" t="s">
        <v>937</v>
      </c>
      <c r="B917" s="4">
        <v>46181</v>
      </c>
      <c r="C917" s="4" t="str">
        <f t="shared" si="28"/>
        <v>Jun</v>
      </c>
      <c r="D917" t="s">
        <v>1522</v>
      </c>
      <c r="E917" t="s">
        <v>1525</v>
      </c>
      <c r="F917" t="s">
        <v>1535</v>
      </c>
      <c r="G917" t="s">
        <v>1538</v>
      </c>
      <c r="H917" t="s">
        <v>4</v>
      </c>
      <c r="I917">
        <v>2025</v>
      </c>
      <c r="J917" t="s">
        <v>1554</v>
      </c>
      <c r="K917" t="s">
        <v>1557</v>
      </c>
      <c r="L917">
        <v>1553219</v>
      </c>
      <c r="M917">
        <v>1318656</v>
      </c>
      <c r="N917">
        <v>234563</v>
      </c>
      <c r="O917">
        <v>65</v>
      </c>
      <c r="P917" t="str">
        <f t="shared" si="29"/>
        <v>senior</v>
      </c>
      <c r="Q917" t="s">
        <v>1558</v>
      </c>
      <c r="R917" t="s">
        <v>1564</v>
      </c>
      <c r="S917" t="s">
        <v>1567</v>
      </c>
      <c r="T917">
        <v>2120901</v>
      </c>
      <c r="U917">
        <v>5</v>
      </c>
      <c r="V917" t="s">
        <v>1582</v>
      </c>
      <c r="W917" t="s">
        <v>1592</v>
      </c>
      <c r="X917">
        <v>15.1</v>
      </c>
    </row>
    <row r="918" spans="1:24" x14ac:dyDescent="0.25">
      <c r="A918" t="s">
        <v>938</v>
      </c>
      <c r="B918" s="4">
        <v>45816</v>
      </c>
      <c r="C918" s="4" t="str">
        <f t="shared" si="28"/>
        <v>Jun</v>
      </c>
      <c r="D918" t="s">
        <v>1522</v>
      </c>
      <c r="E918" t="s">
        <v>1526</v>
      </c>
      <c r="F918" t="s">
        <v>1537</v>
      </c>
      <c r="G918" t="s">
        <v>1542</v>
      </c>
      <c r="H918" t="s">
        <v>4</v>
      </c>
      <c r="I918">
        <v>2024</v>
      </c>
      <c r="J918" t="s">
        <v>1554</v>
      </c>
      <c r="K918" t="s">
        <v>1557</v>
      </c>
      <c r="L918">
        <v>1349956</v>
      </c>
      <c r="M918">
        <v>1229657</v>
      </c>
      <c r="N918">
        <v>120299</v>
      </c>
      <c r="O918">
        <v>34</v>
      </c>
      <c r="P918" t="str">
        <f t="shared" si="29"/>
        <v>adult</v>
      </c>
      <c r="Q918" t="s">
        <v>1559</v>
      </c>
      <c r="R918" t="s">
        <v>1566</v>
      </c>
      <c r="S918" t="s">
        <v>1567</v>
      </c>
      <c r="T918">
        <v>1668498</v>
      </c>
      <c r="U918">
        <v>2</v>
      </c>
      <c r="V918" t="s">
        <v>1584</v>
      </c>
      <c r="W918" t="s">
        <v>1592</v>
      </c>
      <c r="X918">
        <v>8.91</v>
      </c>
    </row>
    <row r="919" spans="1:24" x14ac:dyDescent="0.25">
      <c r="A919" t="s">
        <v>939</v>
      </c>
      <c r="B919" s="4">
        <v>45685</v>
      </c>
      <c r="C919" s="4" t="str">
        <f t="shared" si="28"/>
        <v>Jan</v>
      </c>
      <c r="D919" t="s">
        <v>1522</v>
      </c>
      <c r="E919" t="s">
        <v>1527</v>
      </c>
      <c r="F919" t="s">
        <v>1532</v>
      </c>
      <c r="G919" t="s">
        <v>1543</v>
      </c>
      <c r="H919" t="s">
        <v>1550</v>
      </c>
      <c r="I919">
        <v>2024</v>
      </c>
      <c r="J919" t="s">
        <v>1554</v>
      </c>
      <c r="K919" t="s">
        <v>1556</v>
      </c>
      <c r="L919">
        <v>1479888</v>
      </c>
      <c r="M919">
        <v>1258861</v>
      </c>
      <c r="N919">
        <v>221027</v>
      </c>
      <c r="O919">
        <v>63</v>
      </c>
      <c r="P919" t="str">
        <f t="shared" si="29"/>
        <v>senior</v>
      </c>
      <c r="Q919" t="s">
        <v>1559</v>
      </c>
      <c r="R919" t="s">
        <v>1561</v>
      </c>
      <c r="S919" t="s">
        <v>1568</v>
      </c>
      <c r="T919">
        <v>1649623</v>
      </c>
      <c r="U919">
        <v>2</v>
      </c>
      <c r="V919" t="s">
        <v>1571</v>
      </c>
      <c r="W919" t="s">
        <v>1591</v>
      </c>
      <c r="X919">
        <v>14.94</v>
      </c>
    </row>
    <row r="920" spans="1:24" x14ac:dyDescent="0.25">
      <c r="A920" t="s">
        <v>940</v>
      </c>
      <c r="B920" s="4">
        <v>46084</v>
      </c>
      <c r="C920" s="4" t="str">
        <f t="shared" si="28"/>
        <v>Mar</v>
      </c>
      <c r="D920" t="s">
        <v>1522</v>
      </c>
      <c r="E920" t="s">
        <v>1526</v>
      </c>
      <c r="F920" t="s">
        <v>1532</v>
      </c>
      <c r="G920" t="s">
        <v>1541</v>
      </c>
      <c r="H920" t="s">
        <v>1551</v>
      </c>
      <c r="I920">
        <v>2025</v>
      </c>
      <c r="J920" t="s">
        <v>1554</v>
      </c>
      <c r="K920" t="s">
        <v>1556</v>
      </c>
      <c r="L920">
        <v>1049289</v>
      </c>
      <c r="M920">
        <v>925688</v>
      </c>
      <c r="N920">
        <v>123601</v>
      </c>
      <c r="O920">
        <v>25</v>
      </c>
      <c r="P920" t="str">
        <f t="shared" si="29"/>
        <v>young</v>
      </c>
      <c r="Q920" t="s">
        <v>1558</v>
      </c>
      <c r="R920" t="s">
        <v>1566</v>
      </c>
      <c r="S920" t="s">
        <v>1568</v>
      </c>
      <c r="T920">
        <v>1187003</v>
      </c>
      <c r="U920">
        <v>3</v>
      </c>
      <c r="V920" t="s">
        <v>1586</v>
      </c>
      <c r="W920" t="s">
        <v>1591</v>
      </c>
      <c r="X920">
        <v>11.78</v>
      </c>
    </row>
    <row r="921" spans="1:24" x14ac:dyDescent="0.25">
      <c r="A921" t="s">
        <v>941</v>
      </c>
      <c r="B921" s="4">
        <v>46025</v>
      </c>
      <c r="C921" s="4" t="str">
        <f t="shared" si="28"/>
        <v>Jan</v>
      </c>
      <c r="D921" t="s">
        <v>1522</v>
      </c>
      <c r="E921" t="s">
        <v>1526</v>
      </c>
      <c r="F921" t="s">
        <v>1529</v>
      </c>
      <c r="G921" t="s">
        <v>1541</v>
      </c>
      <c r="H921" t="s">
        <v>1550</v>
      </c>
      <c r="I921">
        <v>2024</v>
      </c>
      <c r="J921" t="s">
        <v>1554</v>
      </c>
      <c r="K921" t="s">
        <v>1556</v>
      </c>
      <c r="L921">
        <v>1207217</v>
      </c>
      <c r="M921">
        <v>1111820</v>
      </c>
      <c r="N921">
        <v>95397</v>
      </c>
      <c r="O921">
        <v>64</v>
      </c>
      <c r="P921" t="str">
        <f t="shared" si="29"/>
        <v>senior</v>
      </c>
      <c r="Q921" t="s">
        <v>1558</v>
      </c>
      <c r="R921" t="s">
        <v>1565</v>
      </c>
      <c r="S921" t="s">
        <v>1568</v>
      </c>
      <c r="T921">
        <v>1054878</v>
      </c>
      <c r="U921">
        <v>5</v>
      </c>
      <c r="V921" t="s">
        <v>1581</v>
      </c>
      <c r="W921" t="s">
        <v>1591</v>
      </c>
      <c r="X921">
        <v>7.9</v>
      </c>
    </row>
    <row r="922" spans="1:24" x14ac:dyDescent="0.25">
      <c r="A922" t="s">
        <v>942</v>
      </c>
      <c r="B922" s="4">
        <v>46140</v>
      </c>
      <c r="C922" s="4" t="str">
        <f t="shared" si="28"/>
        <v>Apr</v>
      </c>
      <c r="D922" t="s">
        <v>1522</v>
      </c>
      <c r="E922" t="s">
        <v>1525</v>
      </c>
      <c r="F922" t="s">
        <v>1535</v>
      </c>
      <c r="G922" t="s">
        <v>1542</v>
      </c>
      <c r="H922" t="s">
        <v>4</v>
      </c>
      <c r="I922">
        <v>2025</v>
      </c>
      <c r="J922" t="s">
        <v>1554</v>
      </c>
      <c r="K922" t="s">
        <v>1557</v>
      </c>
      <c r="L922">
        <v>1704171</v>
      </c>
      <c r="M922">
        <v>1589466</v>
      </c>
      <c r="N922">
        <v>114705</v>
      </c>
      <c r="O922">
        <v>32</v>
      </c>
      <c r="P922" t="str">
        <f t="shared" si="29"/>
        <v>adult</v>
      </c>
      <c r="Q922" t="s">
        <v>1559</v>
      </c>
      <c r="R922" t="s">
        <v>1564</v>
      </c>
      <c r="S922" t="s">
        <v>1567</v>
      </c>
      <c r="T922">
        <v>1320411</v>
      </c>
      <c r="U922">
        <v>2</v>
      </c>
      <c r="V922" t="s">
        <v>1580</v>
      </c>
      <c r="W922" t="s">
        <v>1592</v>
      </c>
      <c r="X922">
        <v>6.73</v>
      </c>
    </row>
    <row r="923" spans="1:24" x14ac:dyDescent="0.25">
      <c r="A923" t="s">
        <v>943</v>
      </c>
      <c r="B923" s="4">
        <v>46200</v>
      </c>
      <c r="C923" s="4" t="str">
        <f t="shared" si="28"/>
        <v>Jun</v>
      </c>
      <c r="D923" t="s">
        <v>1522</v>
      </c>
      <c r="E923" t="s">
        <v>1523</v>
      </c>
      <c r="F923" t="s">
        <v>1534</v>
      </c>
      <c r="G923" t="s">
        <v>1545</v>
      </c>
      <c r="H923" t="s">
        <v>1551</v>
      </c>
      <c r="I923">
        <v>2023</v>
      </c>
      <c r="J923" t="s">
        <v>1554</v>
      </c>
      <c r="K923" t="s">
        <v>1556</v>
      </c>
      <c r="L923">
        <v>855932</v>
      </c>
      <c r="M923">
        <v>776682</v>
      </c>
      <c r="N923">
        <v>79250</v>
      </c>
      <c r="O923">
        <v>55</v>
      </c>
      <c r="P923" t="str">
        <f t="shared" si="29"/>
        <v>senior</v>
      </c>
      <c r="Q923" t="s">
        <v>1559</v>
      </c>
      <c r="R923" t="s">
        <v>1561</v>
      </c>
      <c r="S923" t="s">
        <v>1570</v>
      </c>
      <c r="T923">
        <v>673423</v>
      </c>
      <c r="U923">
        <v>4</v>
      </c>
      <c r="V923" t="s">
        <v>1582</v>
      </c>
      <c r="W923" t="s">
        <v>1592</v>
      </c>
      <c r="X923">
        <v>9.26</v>
      </c>
    </row>
    <row r="924" spans="1:24" x14ac:dyDescent="0.25">
      <c r="A924" t="s">
        <v>944</v>
      </c>
      <c r="B924" s="4">
        <v>46157</v>
      </c>
      <c r="C924" s="4" t="str">
        <f t="shared" si="28"/>
        <v>May</v>
      </c>
      <c r="D924" t="s">
        <v>1522</v>
      </c>
      <c r="E924" t="s">
        <v>1527</v>
      </c>
      <c r="F924" t="s">
        <v>1529</v>
      </c>
      <c r="G924" t="s">
        <v>1542</v>
      </c>
      <c r="H924" t="s">
        <v>1552</v>
      </c>
      <c r="I924">
        <v>2024</v>
      </c>
      <c r="J924" t="s">
        <v>1555</v>
      </c>
      <c r="K924" t="s">
        <v>1556</v>
      </c>
      <c r="L924">
        <v>1861440</v>
      </c>
      <c r="M924">
        <v>1680006</v>
      </c>
      <c r="N924">
        <v>181434</v>
      </c>
      <c r="O924">
        <v>28</v>
      </c>
      <c r="P924" t="str">
        <f t="shared" si="29"/>
        <v>young</v>
      </c>
      <c r="Q924" t="s">
        <v>1558</v>
      </c>
      <c r="R924" t="s">
        <v>1565</v>
      </c>
      <c r="S924" t="s">
        <v>1570</v>
      </c>
      <c r="T924">
        <v>1578809</v>
      </c>
      <c r="U924">
        <v>1</v>
      </c>
      <c r="V924" t="s">
        <v>1590</v>
      </c>
      <c r="W924" t="s">
        <v>1592</v>
      </c>
      <c r="X924">
        <v>9.75</v>
      </c>
    </row>
    <row r="925" spans="1:24" x14ac:dyDescent="0.25">
      <c r="A925" t="s">
        <v>945</v>
      </c>
      <c r="B925" s="4">
        <v>46196</v>
      </c>
      <c r="C925" s="4" t="str">
        <f t="shared" si="28"/>
        <v>Jun</v>
      </c>
      <c r="D925" t="s">
        <v>1522</v>
      </c>
      <c r="E925" t="s">
        <v>1523</v>
      </c>
      <c r="F925" t="s">
        <v>1529</v>
      </c>
      <c r="G925" t="s">
        <v>1547</v>
      </c>
      <c r="H925" t="s">
        <v>1552</v>
      </c>
      <c r="I925">
        <v>2025</v>
      </c>
      <c r="J925" t="s">
        <v>1555</v>
      </c>
      <c r="K925" t="s">
        <v>1556</v>
      </c>
      <c r="L925">
        <v>2106206</v>
      </c>
      <c r="M925">
        <v>1807794</v>
      </c>
      <c r="N925">
        <v>298412</v>
      </c>
      <c r="O925">
        <v>52</v>
      </c>
      <c r="P925" t="str">
        <f t="shared" si="29"/>
        <v>senior</v>
      </c>
      <c r="Q925" t="s">
        <v>1560</v>
      </c>
      <c r="R925" t="s">
        <v>1566</v>
      </c>
      <c r="S925" t="s">
        <v>1568</v>
      </c>
      <c r="T925">
        <v>1455628</v>
      </c>
      <c r="U925">
        <v>1</v>
      </c>
      <c r="V925" t="s">
        <v>1582</v>
      </c>
      <c r="W925" t="s">
        <v>1592</v>
      </c>
      <c r="X925">
        <v>14.17</v>
      </c>
    </row>
    <row r="926" spans="1:24" x14ac:dyDescent="0.25">
      <c r="A926" t="s">
        <v>946</v>
      </c>
      <c r="B926" s="4">
        <v>46125</v>
      </c>
      <c r="C926" s="4" t="str">
        <f t="shared" si="28"/>
        <v>Apr</v>
      </c>
      <c r="D926" t="s">
        <v>1522</v>
      </c>
      <c r="E926" t="s">
        <v>1524</v>
      </c>
      <c r="F926" t="s">
        <v>1528</v>
      </c>
      <c r="G926" t="s">
        <v>1549</v>
      </c>
      <c r="H926" t="s">
        <v>1551</v>
      </c>
      <c r="I926">
        <v>2023</v>
      </c>
      <c r="J926" t="s">
        <v>1554</v>
      </c>
      <c r="K926" t="s">
        <v>1556</v>
      </c>
      <c r="L926">
        <v>879767</v>
      </c>
      <c r="M926">
        <v>711447</v>
      </c>
      <c r="N926">
        <v>168320</v>
      </c>
      <c r="O926">
        <v>24</v>
      </c>
      <c r="P926" t="str">
        <f t="shared" si="29"/>
        <v>young</v>
      </c>
      <c r="Q926" t="s">
        <v>1558</v>
      </c>
      <c r="R926" t="s">
        <v>1561</v>
      </c>
      <c r="S926" t="s">
        <v>1569</v>
      </c>
      <c r="T926">
        <v>449954</v>
      </c>
      <c r="U926">
        <v>1</v>
      </c>
      <c r="V926" t="s">
        <v>1580</v>
      </c>
      <c r="W926" t="s">
        <v>1592</v>
      </c>
      <c r="X926">
        <v>19.13</v>
      </c>
    </row>
    <row r="927" spans="1:24" x14ac:dyDescent="0.25">
      <c r="A927" t="s">
        <v>947</v>
      </c>
      <c r="B927" s="4">
        <v>46075</v>
      </c>
      <c r="C927" s="4" t="str">
        <f t="shared" si="28"/>
        <v>Feb</v>
      </c>
      <c r="D927" t="s">
        <v>1522</v>
      </c>
      <c r="E927" t="s">
        <v>1524</v>
      </c>
      <c r="F927" t="s">
        <v>1528</v>
      </c>
      <c r="G927" t="s">
        <v>1541</v>
      </c>
      <c r="H927" t="s">
        <v>1550</v>
      </c>
      <c r="I927">
        <v>2025</v>
      </c>
      <c r="J927" t="s">
        <v>1554</v>
      </c>
      <c r="K927" t="s">
        <v>1557</v>
      </c>
      <c r="L927">
        <v>1458671</v>
      </c>
      <c r="M927">
        <v>1301172</v>
      </c>
      <c r="N927">
        <v>157499</v>
      </c>
      <c r="O927">
        <v>62</v>
      </c>
      <c r="P927" t="str">
        <f t="shared" si="29"/>
        <v>senior</v>
      </c>
      <c r="Q927" t="s">
        <v>1558</v>
      </c>
      <c r="R927" t="s">
        <v>1566</v>
      </c>
      <c r="S927" t="s">
        <v>1570</v>
      </c>
      <c r="T927">
        <v>726412</v>
      </c>
      <c r="U927">
        <v>2</v>
      </c>
      <c r="V927" t="s">
        <v>1589</v>
      </c>
      <c r="W927" t="s">
        <v>1591</v>
      </c>
      <c r="X927">
        <v>10.8</v>
      </c>
    </row>
    <row r="928" spans="1:24" x14ac:dyDescent="0.25">
      <c r="A928" t="s">
        <v>948</v>
      </c>
      <c r="B928" s="4">
        <v>45692</v>
      </c>
      <c r="C928" s="4" t="str">
        <f t="shared" si="28"/>
        <v>Feb</v>
      </c>
      <c r="D928" t="s">
        <v>1522</v>
      </c>
      <c r="E928" t="s">
        <v>1525</v>
      </c>
      <c r="F928" t="s">
        <v>1531</v>
      </c>
      <c r="G928" t="s">
        <v>1540</v>
      </c>
      <c r="H928" t="s">
        <v>4</v>
      </c>
      <c r="I928">
        <v>2025</v>
      </c>
      <c r="J928" t="s">
        <v>1554</v>
      </c>
      <c r="K928" t="s">
        <v>1556</v>
      </c>
      <c r="L928">
        <v>1547305</v>
      </c>
      <c r="M928">
        <v>1357117</v>
      </c>
      <c r="N928">
        <v>190188</v>
      </c>
      <c r="O928">
        <v>28</v>
      </c>
      <c r="P928" t="str">
        <f t="shared" si="29"/>
        <v>young</v>
      </c>
      <c r="Q928" t="s">
        <v>1558</v>
      </c>
      <c r="R928" t="s">
        <v>1562</v>
      </c>
      <c r="S928" t="s">
        <v>1570</v>
      </c>
      <c r="T928">
        <v>1677640</v>
      </c>
      <c r="U928">
        <v>3</v>
      </c>
      <c r="V928" t="s">
        <v>1578</v>
      </c>
      <c r="W928" t="s">
        <v>1591</v>
      </c>
      <c r="X928">
        <v>12.29</v>
      </c>
    </row>
    <row r="929" spans="1:24" x14ac:dyDescent="0.25">
      <c r="A929" t="s">
        <v>949</v>
      </c>
      <c r="B929" s="4">
        <v>46049</v>
      </c>
      <c r="C929" s="4" t="str">
        <f t="shared" si="28"/>
        <v>Jan</v>
      </c>
      <c r="D929" t="s">
        <v>1522</v>
      </c>
      <c r="E929" t="s">
        <v>1523</v>
      </c>
      <c r="F929" t="s">
        <v>1531</v>
      </c>
      <c r="G929" t="s">
        <v>1541</v>
      </c>
      <c r="H929" t="s">
        <v>4</v>
      </c>
      <c r="I929">
        <v>2025</v>
      </c>
      <c r="J929" t="s">
        <v>1554</v>
      </c>
      <c r="K929" t="s">
        <v>1556</v>
      </c>
      <c r="L929">
        <v>1758082</v>
      </c>
      <c r="M929">
        <v>1498027</v>
      </c>
      <c r="N929">
        <v>260055</v>
      </c>
      <c r="O929">
        <v>42</v>
      </c>
      <c r="P929" t="str">
        <f t="shared" si="29"/>
        <v>adult</v>
      </c>
      <c r="Q929" t="s">
        <v>1559</v>
      </c>
      <c r="R929" t="s">
        <v>1564</v>
      </c>
      <c r="S929" t="s">
        <v>1569</v>
      </c>
      <c r="T929">
        <v>1494980</v>
      </c>
      <c r="U929">
        <v>2</v>
      </c>
      <c r="V929" t="s">
        <v>1581</v>
      </c>
      <c r="W929" t="s">
        <v>1591</v>
      </c>
      <c r="X929">
        <v>14.79</v>
      </c>
    </row>
    <row r="930" spans="1:24" x14ac:dyDescent="0.25">
      <c r="A930" t="s">
        <v>950</v>
      </c>
      <c r="B930" s="4">
        <v>46252</v>
      </c>
      <c r="C930" s="4" t="str">
        <f t="shared" si="28"/>
        <v>Aug</v>
      </c>
      <c r="D930" t="s">
        <v>1522</v>
      </c>
      <c r="E930" t="s">
        <v>1525</v>
      </c>
      <c r="F930" t="s">
        <v>1528</v>
      </c>
      <c r="G930" t="s">
        <v>1544</v>
      </c>
      <c r="H930" t="s">
        <v>1551</v>
      </c>
      <c r="I930">
        <v>2022</v>
      </c>
      <c r="J930" t="s">
        <v>1554</v>
      </c>
      <c r="K930" t="s">
        <v>1556</v>
      </c>
      <c r="L930">
        <v>872014</v>
      </c>
      <c r="M930">
        <v>790779</v>
      </c>
      <c r="N930">
        <v>81235</v>
      </c>
      <c r="O930">
        <v>22</v>
      </c>
      <c r="P930" t="str">
        <f t="shared" si="29"/>
        <v>young</v>
      </c>
      <c r="Q930" t="s">
        <v>1558</v>
      </c>
      <c r="R930" t="s">
        <v>1566</v>
      </c>
      <c r="S930" t="s">
        <v>1569</v>
      </c>
      <c r="T930">
        <v>67655</v>
      </c>
      <c r="U930">
        <v>2</v>
      </c>
      <c r="V930" t="s">
        <v>1576</v>
      </c>
      <c r="W930" t="s">
        <v>1594</v>
      </c>
      <c r="X930">
        <v>9.32</v>
      </c>
    </row>
    <row r="931" spans="1:24" x14ac:dyDescent="0.25">
      <c r="A931" t="s">
        <v>951</v>
      </c>
      <c r="B931" s="4">
        <v>46199</v>
      </c>
      <c r="C931" s="4" t="str">
        <f t="shared" si="28"/>
        <v>Jun</v>
      </c>
      <c r="D931" t="s">
        <v>1522</v>
      </c>
      <c r="E931" t="s">
        <v>1525</v>
      </c>
      <c r="F931" t="s">
        <v>1534</v>
      </c>
      <c r="G931" t="s">
        <v>1548</v>
      </c>
      <c r="H931" t="s">
        <v>1551</v>
      </c>
      <c r="I931">
        <v>2025</v>
      </c>
      <c r="J931" t="s">
        <v>1554</v>
      </c>
      <c r="K931" t="s">
        <v>1557</v>
      </c>
      <c r="L931">
        <v>1070311</v>
      </c>
      <c r="M931">
        <v>916974</v>
      </c>
      <c r="N931">
        <v>153337</v>
      </c>
      <c r="O931">
        <v>53</v>
      </c>
      <c r="P931" t="str">
        <f t="shared" si="29"/>
        <v>senior</v>
      </c>
      <c r="Q931" t="s">
        <v>1558</v>
      </c>
      <c r="R931" t="s">
        <v>1561</v>
      </c>
      <c r="S931" t="s">
        <v>1567</v>
      </c>
      <c r="T931">
        <v>732566</v>
      </c>
      <c r="U931">
        <v>1</v>
      </c>
      <c r="V931" t="s">
        <v>1582</v>
      </c>
      <c r="W931" t="s">
        <v>1592</v>
      </c>
      <c r="X931">
        <v>14.33</v>
      </c>
    </row>
    <row r="932" spans="1:24" x14ac:dyDescent="0.25">
      <c r="A932" t="s">
        <v>952</v>
      </c>
      <c r="B932" s="4">
        <v>46195</v>
      </c>
      <c r="C932" s="4" t="str">
        <f t="shared" si="28"/>
        <v>Jun</v>
      </c>
      <c r="D932" t="s">
        <v>1522</v>
      </c>
      <c r="E932" t="s">
        <v>1523</v>
      </c>
      <c r="F932" t="s">
        <v>1529</v>
      </c>
      <c r="G932" t="s">
        <v>1542</v>
      </c>
      <c r="H932" t="s">
        <v>4</v>
      </c>
      <c r="I932">
        <v>2024</v>
      </c>
      <c r="J932" t="s">
        <v>1554</v>
      </c>
      <c r="K932" t="s">
        <v>1557</v>
      </c>
      <c r="L932">
        <v>1339433</v>
      </c>
      <c r="M932">
        <v>1210608</v>
      </c>
      <c r="N932">
        <v>128825</v>
      </c>
      <c r="O932">
        <v>34</v>
      </c>
      <c r="P932" t="str">
        <f t="shared" si="29"/>
        <v>adult</v>
      </c>
      <c r="Q932" t="s">
        <v>1558</v>
      </c>
      <c r="R932" t="s">
        <v>1566</v>
      </c>
      <c r="S932" t="s">
        <v>1568</v>
      </c>
      <c r="T932">
        <v>957896</v>
      </c>
      <c r="U932">
        <v>1</v>
      </c>
      <c r="V932" t="s">
        <v>1582</v>
      </c>
      <c r="W932" t="s">
        <v>1592</v>
      </c>
      <c r="X932">
        <v>9.6199999999999992</v>
      </c>
    </row>
    <row r="933" spans="1:24" x14ac:dyDescent="0.25">
      <c r="A933" t="s">
        <v>953</v>
      </c>
      <c r="B933" s="4">
        <v>45660</v>
      </c>
      <c r="C933" s="4" t="str">
        <f t="shared" si="28"/>
        <v>Jan</v>
      </c>
      <c r="D933" t="s">
        <v>1522</v>
      </c>
      <c r="E933" t="s">
        <v>1527</v>
      </c>
      <c r="F933" t="s">
        <v>1532</v>
      </c>
      <c r="G933" t="s">
        <v>1545</v>
      </c>
      <c r="H933" t="s">
        <v>1550</v>
      </c>
      <c r="I933">
        <v>2023</v>
      </c>
      <c r="J933" t="s">
        <v>1554</v>
      </c>
      <c r="K933" t="s">
        <v>1557</v>
      </c>
      <c r="L933">
        <v>1680464</v>
      </c>
      <c r="M933">
        <v>1476854</v>
      </c>
      <c r="N933">
        <v>203610</v>
      </c>
      <c r="O933">
        <v>53</v>
      </c>
      <c r="P933" t="str">
        <f t="shared" si="29"/>
        <v>senior</v>
      </c>
      <c r="Q933" t="s">
        <v>1558</v>
      </c>
      <c r="R933" t="s">
        <v>1566</v>
      </c>
      <c r="S933" t="s">
        <v>1569</v>
      </c>
      <c r="T933">
        <v>975715</v>
      </c>
      <c r="U933">
        <v>4</v>
      </c>
      <c r="V933" t="s">
        <v>1571</v>
      </c>
      <c r="W933" t="s">
        <v>1591</v>
      </c>
      <c r="X933">
        <v>12.12</v>
      </c>
    </row>
    <row r="934" spans="1:24" x14ac:dyDescent="0.25">
      <c r="A934" t="s">
        <v>954</v>
      </c>
      <c r="B934" s="4">
        <v>46142</v>
      </c>
      <c r="C934" s="4" t="str">
        <f t="shared" si="28"/>
        <v>Apr</v>
      </c>
      <c r="D934" t="s">
        <v>1522</v>
      </c>
      <c r="E934" t="s">
        <v>1526</v>
      </c>
      <c r="F934" t="s">
        <v>1533</v>
      </c>
      <c r="G934" t="s">
        <v>1542</v>
      </c>
      <c r="H934" t="s">
        <v>4</v>
      </c>
      <c r="I934">
        <v>2023</v>
      </c>
      <c r="J934" t="s">
        <v>1554</v>
      </c>
      <c r="K934" t="s">
        <v>1556</v>
      </c>
      <c r="L934">
        <v>1495079</v>
      </c>
      <c r="M934">
        <v>1322404</v>
      </c>
      <c r="N934">
        <v>172675</v>
      </c>
      <c r="O934">
        <v>32</v>
      </c>
      <c r="P934" t="str">
        <f t="shared" si="29"/>
        <v>adult</v>
      </c>
      <c r="Q934" t="s">
        <v>1558</v>
      </c>
      <c r="R934" t="s">
        <v>1565</v>
      </c>
      <c r="S934" t="s">
        <v>1567</v>
      </c>
      <c r="T934">
        <v>1801644</v>
      </c>
      <c r="U934">
        <v>3</v>
      </c>
      <c r="V934" t="s">
        <v>1580</v>
      </c>
      <c r="W934" t="s">
        <v>1592</v>
      </c>
      <c r="X934">
        <v>11.55</v>
      </c>
    </row>
    <row r="935" spans="1:24" x14ac:dyDescent="0.25">
      <c r="A935" t="s">
        <v>955</v>
      </c>
      <c r="B935" s="4">
        <v>45684</v>
      </c>
      <c r="C935" s="4" t="str">
        <f t="shared" si="28"/>
        <v>Jan</v>
      </c>
      <c r="D935" t="s">
        <v>1522</v>
      </c>
      <c r="E935" t="s">
        <v>1526</v>
      </c>
      <c r="F935" t="s">
        <v>1535</v>
      </c>
      <c r="G935" t="s">
        <v>1540</v>
      </c>
      <c r="H935" t="s">
        <v>1552</v>
      </c>
      <c r="I935">
        <v>2025</v>
      </c>
      <c r="J935" t="s">
        <v>1555</v>
      </c>
      <c r="K935" t="s">
        <v>1556</v>
      </c>
      <c r="L935">
        <v>1928352</v>
      </c>
      <c r="M935">
        <v>1671038</v>
      </c>
      <c r="N935">
        <v>257314</v>
      </c>
      <c r="O935">
        <v>32</v>
      </c>
      <c r="P935" t="str">
        <f t="shared" si="29"/>
        <v>adult</v>
      </c>
      <c r="Q935" t="s">
        <v>1558</v>
      </c>
      <c r="R935" t="s">
        <v>1563</v>
      </c>
      <c r="S935" t="s">
        <v>1568</v>
      </c>
      <c r="T935">
        <v>1833762</v>
      </c>
      <c r="U935">
        <v>4</v>
      </c>
      <c r="V935" t="s">
        <v>1571</v>
      </c>
      <c r="W935" t="s">
        <v>1591</v>
      </c>
      <c r="X935">
        <v>13.34</v>
      </c>
    </row>
    <row r="936" spans="1:24" x14ac:dyDescent="0.25">
      <c r="A936" t="s">
        <v>956</v>
      </c>
      <c r="B936" s="4">
        <v>45701</v>
      </c>
      <c r="C936" s="4" t="str">
        <f t="shared" si="28"/>
        <v>Feb</v>
      </c>
      <c r="D936" t="s">
        <v>1522</v>
      </c>
      <c r="E936" t="s">
        <v>1527</v>
      </c>
      <c r="F936" t="s">
        <v>1537</v>
      </c>
      <c r="G936" t="s">
        <v>1539</v>
      </c>
      <c r="H936" t="s">
        <v>4</v>
      </c>
      <c r="I936">
        <v>2025</v>
      </c>
      <c r="J936" t="s">
        <v>1554</v>
      </c>
      <c r="K936" t="s">
        <v>1557</v>
      </c>
      <c r="L936">
        <v>1863784</v>
      </c>
      <c r="M936">
        <v>1571235</v>
      </c>
      <c r="N936">
        <v>292549</v>
      </c>
      <c r="O936">
        <v>64</v>
      </c>
      <c r="P936" t="str">
        <f t="shared" si="29"/>
        <v>senior</v>
      </c>
      <c r="Q936" t="s">
        <v>1558</v>
      </c>
      <c r="R936" t="s">
        <v>1562</v>
      </c>
      <c r="S936" t="s">
        <v>1567</v>
      </c>
      <c r="T936">
        <v>1412616</v>
      </c>
      <c r="U936">
        <v>3</v>
      </c>
      <c r="V936" t="s">
        <v>1578</v>
      </c>
      <c r="W936" t="s">
        <v>1591</v>
      </c>
      <c r="X936">
        <v>15.7</v>
      </c>
    </row>
    <row r="937" spans="1:24" x14ac:dyDescent="0.25">
      <c r="A937" t="s">
        <v>957</v>
      </c>
      <c r="B937" s="4">
        <v>45668</v>
      </c>
      <c r="C937" s="4" t="str">
        <f t="shared" si="28"/>
        <v>Jan</v>
      </c>
      <c r="D937" t="s">
        <v>1522</v>
      </c>
      <c r="E937" t="s">
        <v>1527</v>
      </c>
      <c r="F937" t="s">
        <v>1529</v>
      </c>
      <c r="G937" t="s">
        <v>1542</v>
      </c>
      <c r="H937" t="s">
        <v>1550</v>
      </c>
      <c r="I937">
        <v>2025</v>
      </c>
      <c r="J937" t="s">
        <v>1554</v>
      </c>
      <c r="K937" t="s">
        <v>1557</v>
      </c>
      <c r="L937">
        <v>1632802</v>
      </c>
      <c r="M937">
        <v>1482384</v>
      </c>
      <c r="N937">
        <v>150418</v>
      </c>
      <c r="O937">
        <v>42</v>
      </c>
      <c r="P937" t="str">
        <f t="shared" si="29"/>
        <v>adult</v>
      </c>
      <c r="Q937" t="s">
        <v>1559</v>
      </c>
      <c r="R937" t="s">
        <v>1562</v>
      </c>
      <c r="S937" t="s">
        <v>1567</v>
      </c>
      <c r="T937">
        <v>900780</v>
      </c>
      <c r="U937">
        <v>1</v>
      </c>
      <c r="V937" t="s">
        <v>1571</v>
      </c>
      <c r="W937" t="s">
        <v>1591</v>
      </c>
      <c r="X937">
        <v>9.2100000000000009</v>
      </c>
    </row>
    <row r="938" spans="1:24" x14ac:dyDescent="0.25">
      <c r="A938" t="s">
        <v>958</v>
      </c>
      <c r="B938" s="4">
        <v>46235</v>
      </c>
      <c r="C938" s="4" t="str">
        <f t="shared" si="28"/>
        <v>Aug</v>
      </c>
      <c r="D938" t="s">
        <v>1522</v>
      </c>
      <c r="E938" t="s">
        <v>1526</v>
      </c>
      <c r="F938" t="s">
        <v>1535</v>
      </c>
      <c r="G938" t="s">
        <v>1547</v>
      </c>
      <c r="H938" t="s">
        <v>1551</v>
      </c>
      <c r="I938">
        <v>2026</v>
      </c>
      <c r="J938" t="s">
        <v>1554</v>
      </c>
      <c r="K938" t="s">
        <v>1557</v>
      </c>
      <c r="L938">
        <v>965357</v>
      </c>
      <c r="M938">
        <v>906307</v>
      </c>
      <c r="N938">
        <v>59050</v>
      </c>
      <c r="O938">
        <v>26</v>
      </c>
      <c r="P938" t="str">
        <f t="shared" si="29"/>
        <v>young</v>
      </c>
      <c r="Q938" t="s">
        <v>1559</v>
      </c>
      <c r="R938" t="s">
        <v>1561</v>
      </c>
      <c r="S938" t="s">
        <v>1568</v>
      </c>
      <c r="T938">
        <v>623870</v>
      </c>
      <c r="U938">
        <v>5</v>
      </c>
      <c r="V938" t="s">
        <v>1576</v>
      </c>
      <c r="W938" t="s">
        <v>1594</v>
      </c>
      <c r="X938">
        <v>6.12</v>
      </c>
    </row>
    <row r="939" spans="1:24" x14ac:dyDescent="0.25">
      <c r="A939" t="s">
        <v>959</v>
      </c>
      <c r="B939" s="4">
        <v>46229</v>
      </c>
      <c r="C939" s="4" t="str">
        <f t="shared" si="28"/>
        <v>Jul</v>
      </c>
      <c r="D939" t="s">
        <v>1522</v>
      </c>
      <c r="E939" t="s">
        <v>1526</v>
      </c>
      <c r="F939" t="s">
        <v>1531</v>
      </c>
      <c r="G939" t="s">
        <v>1541</v>
      </c>
      <c r="H939" t="s">
        <v>1550</v>
      </c>
      <c r="I939">
        <v>2024</v>
      </c>
      <c r="J939" t="s">
        <v>1554</v>
      </c>
      <c r="K939" t="s">
        <v>1557</v>
      </c>
      <c r="L939">
        <v>1452781</v>
      </c>
      <c r="M939">
        <v>1229510</v>
      </c>
      <c r="N939">
        <v>223271</v>
      </c>
      <c r="O939">
        <v>41</v>
      </c>
      <c r="P939" t="str">
        <f t="shared" si="29"/>
        <v>adult</v>
      </c>
      <c r="Q939" t="s">
        <v>1558</v>
      </c>
      <c r="R939" t="s">
        <v>1566</v>
      </c>
      <c r="S939" t="s">
        <v>1567</v>
      </c>
      <c r="T939">
        <v>344480</v>
      </c>
      <c r="U939">
        <v>2</v>
      </c>
      <c r="V939" t="s">
        <v>1587</v>
      </c>
      <c r="W939" t="s">
        <v>1594</v>
      </c>
      <c r="X939">
        <v>15.37</v>
      </c>
    </row>
    <row r="940" spans="1:24" x14ac:dyDescent="0.25">
      <c r="A940" t="s">
        <v>960</v>
      </c>
      <c r="B940" s="4">
        <v>45946</v>
      </c>
      <c r="C940" s="4" t="str">
        <f t="shared" si="28"/>
        <v>Oct</v>
      </c>
      <c r="D940" t="s">
        <v>1522</v>
      </c>
      <c r="E940" t="s">
        <v>1525</v>
      </c>
      <c r="F940" t="s">
        <v>1535</v>
      </c>
      <c r="G940" t="s">
        <v>1547</v>
      </c>
      <c r="H940" t="s">
        <v>1551</v>
      </c>
      <c r="I940">
        <v>2023</v>
      </c>
      <c r="J940" t="s">
        <v>1554</v>
      </c>
      <c r="K940" t="s">
        <v>1557</v>
      </c>
      <c r="L940">
        <v>996251</v>
      </c>
      <c r="M940">
        <v>869752</v>
      </c>
      <c r="N940">
        <v>126499</v>
      </c>
      <c r="O940">
        <v>58</v>
      </c>
      <c r="P940" t="str">
        <f t="shared" si="29"/>
        <v>senior</v>
      </c>
      <c r="Q940" t="s">
        <v>1558</v>
      </c>
      <c r="R940" t="s">
        <v>1564</v>
      </c>
      <c r="S940" t="s">
        <v>1568</v>
      </c>
      <c r="T940">
        <v>379588</v>
      </c>
      <c r="U940">
        <v>1</v>
      </c>
      <c r="V940" t="s">
        <v>1574</v>
      </c>
      <c r="W940" t="s">
        <v>1593</v>
      </c>
      <c r="X940">
        <v>12.7</v>
      </c>
    </row>
    <row r="941" spans="1:24" x14ac:dyDescent="0.25">
      <c r="A941" t="s">
        <v>961</v>
      </c>
      <c r="B941" s="4">
        <v>46188</v>
      </c>
      <c r="C941" s="4" t="str">
        <f t="shared" si="28"/>
        <v>Jun</v>
      </c>
      <c r="D941" t="s">
        <v>1522</v>
      </c>
      <c r="E941" t="s">
        <v>1524</v>
      </c>
      <c r="F941" t="s">
        <v>1534</v>
      </c>
      <c r="G941" t="s">
        <v>1539</v>
      </c>
      <c r="H941" t="s">
        <v>4</v>
      </c>
      <c r="I941">
        <v>2024</v>
      </c>
      <c r="J941" t="s">
        <v>1554</v>
      </c>
      <c r="K941" t="s">
        <v>1557</v>
      </c>
      <c r="L941">
        <v>1272181</v>
      </c>
      <c r="M941">
        <v>1064547</v>
      </c>
      <c r="N941">
        <v>207634</v>
      </c>
      <c r="O941">
        <v>22</v>
      </c>
      <c r="P941" t="str">
        <f t="shared" si="29"/>
        <v>young</v>
      </c>
      <c r="Q941" t="s">
        <v>1559</v>
      </c>
      <c r="R941" t="s">
        <v>1562</v>
      </c>
      <c r="S941" t="s">
        <v>1569</v>
      </c>
      <c r="T941">
        <v>976890</v>
      </c>
      <c r="U941">
        <v>5</v>
      </c>
      <c r="V941" t="s">
        <v>1582</v>
      </c>
      <c r="W941" t="s">
        <v>1592</v>
      </c>
      <c r="X941">
        <v>16.32</v>
      </c>
    </row>
    <row r="942" spans="1:24" x14ac:dyDescent="0.25">
      <c r="A942" t="s">
        <v>962</v>
      </c>
      <c r="B942" s="4">
        <v>46247</v>
      </c>
      <c r="C942" s="4" t="str">
        <f t="shared" si="28"/>
        <v>Aug</v>
      </c>
      <c r="D942" t="s">
        <v>1522</v>
      </c>
      <c r="E942" t="s">
        <v>1524</v>
      </c>
      <c r="F942" t="s">
        <v>1532</v>
      </c>
      <c r="G942" t="s">
        <v>1544</v>
      </c>
      <c r="H942" t="s">
        <v>1550</v>
      </c>
      <c r="I942">
        <v>2023</v>
      </c>
      <c r="J942" t="s">
        <v>1553</v>
      </c>
      <c r="K942" t="s">
        <v>1556</v>
      </c>
      <c r="L942">
        <v>1679330</v>
      </c>
      <c r="M942">
        <v>1377543</v>
      </c>
      <c r="N942">
        <v>301787</v>
      </c>
      <c r="O942">
        <v>55</v>
      </c>
      <c r="P942" t="str">
        <f t="shared" si="29"/>
        <v>senior</v>
      </c>
      <c r="Q942" t="s">
        <v>1558</v>
      </c>
      <c r="R942" t="s">
        <v>1566</v>
      </c>
      <c r="S942" t="s">
        <v>1570</v>
      </c>
      <c r="T942">
        <v>70131</v>
      </c>
      <c r="U942">
        <v>4</v>
      </c>
      <c r="V942" t="s">
        <v>1576</v>
      </c>
      <c r="W942" t="s">
        <v>1594</v>
      </c>
      <c r="X942">
        <v>17.97</v>
      </c>
    </row>
    <row r="943" spans="1:24" x14ac:dyDescent="0.25">
      <c r="A943" t="s">
        <v>963</v>
      </c>
      <c r="B943" s="4">
        <v>45728</v>
      </c>
      <c r="C943" s="4" t="str">
        <f t="shared" si="28"/>
        <v>Mar</v>
      </c>
      <c r="D943" t="s">
        <v>1522</v>
      </c>
      <c r="E943" t="s">
        <v>1527</v>
      </c>
      <c r="F943" t="s">
        <v>1528</v>
      </c>
      <c r="G943" t="s">
        <v>1547</v>
      </c>
      <c r="H943" t="s">
        <v>1552</v>
      </c>
      <c r="I943">
        <v>2025</v>
      </c>
      <c r="J943" t="s">
        <v>1555</v>
      </c>
      <c r="K943" t="s">
        <v>1556</v>
      </c>
      <c r="L943">
        <v>1879216</v>
      </c>
      <c r="M943">
        <v>1612613</v>
      </c>
      <c r="N943">
        <v>266603</v>
      </c>
      <c r="O943">
        <v>65</v>
      </c>
      <c r="P943" t="str">
        <f t="shared" si="29"/>
        <v>senior</v>
      </c>
      <c r="Q943" t="s">
        <v>1559</v>
      </c>
      <c r="R943" t="s">
        <v>1563</v>
      </c>
      <c r="S943" t="s">
        <v>1567</v>
      </c>
      <c r="T943">
        <v>1332645</v>
      </c>
      <c r="U943">
        <v>4</v>
      </c>
      <c r="V943" t="s">
        <v>1588</v>
      </c>
      <c r="W943" t="s">
        <v>1591</v>
      </c>
      <c r="X943">
        <v>14.19</v>
      </c>
    </row>
    <row r="944" spans="1:24" x14ac:dyDescent="0.25">
      <c r="A944" t="s">
        <v>964</v>
      </c>
      <c r="B944" s="4">
        <v>45758</v>
      </c>
      <c r="C944" s="4" t="str">
        <f t="shared" si="28"/>
        <v>Apr</v>
      </c>
      <c r="D944" t="s">
        <v>1522</v>
      </c>
      <c r="E944" t="s">
        <v>1526</v>
      </c>
      <c r="F944" t="s">
        <v>1531</v>
      </c>
      <c r="G944" t="s">
        <v>1544</v>
      </c>
      <c r="H944" t="s">
        <v>1550</v>
      </c>
      <c r="I944">
        <v>2025</v>
      </c>
      <c r="J944" t="s">
        <v>1554</v>
      </c>
      <c r="K944" t="s">
        <v>1556</v>
      </c>
      <c r="L944">
        <v>1142333</v>
      </c>
      <c r="M944">
        <v>1003386</v>
      </c>
      <c r="N944">
        <v>138947</v>
      </c>
      <c r="O944">
        <v>58</v>
      </c>
      <c r="P944" t="str">
        <f t="shared" si="29"/>
        <v>senior</v>
      </c>
      <c r="Q944" t="s">
        <v>1559</v>
      </c>
      <c r="R944" t="s">
        <v>1562</v>
      </c>
      <c r="S944" t="s">
        <v>1570</v>
      </c>
      <c r="T944">
        <v>519971</v>
      </c>
      <c r="U944">
        <v>1</v>
      </c>
      <c r="V944" t="s">
        <v>1573</v>
      </c>
      <c r="W944" t="s">
        <v>1592</v>
      </c>
      <c r="X944">
        <v>12.16</v>
      </c>
    </row>
    <row r="945" spans="1:24" x14ac:dyDescent="0.25">
      <c r="A945" t="s">
        <v>965</v>
      </c>
      <c r="B945" s="4">
        <v>45887</v>
      </c>
      <c r="C945" s="4" t="str">
        <f t="shared" si="28"/>
        <v>Aug</v>
      </c>
      <c r="D945" t="s">
        <v>1522</v>
      </c>
      <c r="E945" t="s">
        <v>1524</v>
      </c>
      <c r="F945" t="s">
        <v>1535</v>
      </c>
      <c r="G945" t="s">
        <v>1544</v>
      </c>
      <c r="H945" t="s">
        <v>4</v>
      </c>
      <c r="I945">
        <v>2024</v>
      </c>
      <c r="J945" t="s">
        <v>1554</v>
      </c>
      <c r="K945" t="s">
        <v>1557</v>
      </c>
      <c r="L945">
        <v>1158628</v>
      </c>
      <c r="M945">
        <v>954667</v>
      </c>
      <c r="N945">
        <v>203961</v>
      </c>
      <c r="O945">
        <v>50</v>
      </c>
      <c r="P945" t="str">
        <f t="shared" si="29"/>
        <v>adult</v>
      </c>
      <c r="Q945" t="s">
        <v>1559</v>
      </c>
      <c r="R945" t="s">
        <v>1561</v>
      </c>
      <c r="S945" t="s">
        <v>1570</v>
      </c>
      <c r="T945">
        <v>415599</v>
      </c>
      <c r="U945">
        <v>4</v>
      </c>
      <c r="V945" t="s">
        <v>1585</v>
      </c>
      <c r="W945" t="s">
        <v>1594</v>
      </c>
      <c r="X945">
        <v>17.600000000000001</v>
      </c>
    </row>
    <row r="946" spans="1:24" x14ac:dyDescent="0.25">
      <c r="A946" t="s">
        <v>966</v>
      </c>
      <c r="B946" s="4">
        <v>45836</v>
      </c>
      <c r="C946" s="4" t="str">
        <f t="shared" si="28"/>
        <v>Jun</v>
      </c>
      <c r="D946" t="s">
        <v>1522</v>
      </c>
      <c r="E946" t="s">
        <v>1523</v>
      </c>
      <c r="F946" t="s">
        <v>1537</v>
      </c>
      <c r="G946" t="s">
        <v>1546</v>
      </c>
      <c r="H946" t="s">
        <v>4</v>
      </c>
      <c r="I946">
        <v>2024</v>
      </c>
      <c r="J946" t="s">
        <v>1554</v>
      </c>
      <c r="K946" t="s">
        <v>1556</v>
      </c>
      <c r="L946">
        <v>1801017</v>
      </c>
      <c r="M946">
        <v>1538988</v>
      </c>
      <c r="N946">
        <v>262029</v>
      </c>
      <c r="O946">
        <v>42</v>
      </c>
      <c r="P946" t="str">
        <f t="shared" si="29"/>
        <v>adult</v>
      </c>
      <c r="Q946" t="s">
        <v>1559</v>
      </c>
      <c r="R946" t="s">
        <v>1561</v>
      </c>
      <c r="S946" t="s">
        <v>1567</v>
      </c>
      <c r="T946">
        <v>1050861</v>
      </c>
      <c r="U946">
        <v>5</v>
      </c>
      <c r="V946" t="s">
        <v>1584</v>
      </c>
      <c r="W946" t="s">
        <v>1592</v>
      </c>
      <c r="X946">
        <v>14.55</v>
      </c>
    </row>
    <row r="947" spans="1:24" x14ac:dyDescent="0.25">
      <c r="A947" t="s">
        <v>967</v>
      </c>
      <c r="B947" s="4">
        <v>45919</v>
      </c>
      <c r="C947" s="4" t="str">
        <f t="shared" si="28"/>
        <v>Sep</v>
      </c>
      <c r="D947" t="s">
        <v>1522</v>
      </c>
      <c r="E947" t="s">
        <v>1523</v>
      </c>
      <c r="F947" t="s">
        <v>1533</v>
      </c>
      <c r="G947" t="s">
        <v>1549</v>
      </c>
      <c r="H947" t="s">
        <v>4</v>
      </c>
      <c r="I947">
        <v>2024</v>
      </c>
      <c r="J947" t="s">
        <v>1554</v>
      </c>
      <c r="K947" t="s">
        <v>1556</v>
      </c>
      <c r="L947">
        <v>1290750</v>
      </c>
      <c r="M947">
        <v>1064742</v>
      </c>
      <c r="N947">
        <v>226008</v>
      </c>
      <c r="O947">
        <v>51</v>
      </c>
      <c r="P947" t="str">
        <f t="shared" si="29"/>
        <v>senior</v>
      </c>
      <c r="Q947" t="s">
        <v>1559</v>
      </c>
      <c r="R947" t="s">
        <v>1561</v>
      </c>
      <c r="S947" t="s">
        <v>1567</v>
      </c>
      <c r="T947">
        <v>750684</v>
      </c>
      <c r="U947">
        <v>5</v>
      </c>
      <c r="V947" t="s">
        <v>1577</v>
      </c>
      <c r="W947" t="s">
        <v>1594</v>
      </c>
      <c r="X947">
        <v>17.510000000000002</v>
      </c>
    </row>
    <row r="948" spans="1:24" x14ac:dyDescent="0.25">
      <c r="A948" t="s">
        <v>968</v>
      </c>
      <c r="B948" s="4">
        <v>45964</v>
      </c>
      <c r="C948" s="4" t="str">
        <f t="shared" si="28"/>
        <v>Nov</v>
      </c>
      <c r="D948" t="s">
        <v>1522</v>
      </c>
      <c r="E948" t="s">
        <v>1523</v>
      </c>
      <c r="F948" t="s">
        <v>1531</v>
      </c>
      <c r="G948" t="s">
        <v>1547</v>
      </c>
      <c r="H948" t="s">
        <v>4</v>
      </c>
      <c r="I948">
        <v>2025</v>
      </c>
      <c r="J948" t="s">
        <v>1554</v>
      </c>
      <c r="K948" t="s">
        <v>1557</v>
      </c>
      <c r="L948">
        <v>1346968</v>
      </c>
      <c r="M948">
        <v>1106658</v>
      </c>
      <c r="N948">
        <v>240310</v>
      </c>
      <c r="O948">
        <v>50</v>
      </c>
      <c r="P948" t="str">
        <f t="shared" si="29"/>
        <v>adult</v>
      </c>
      <c r="Q948" t="s">
        <v>1559</v>
      </c>
      <c r="R948" t="s">
        <v>1564</v>
      </c>
      <c r="S948" t="s">
        <v>1570</v>
      </c>
      <c r="T948">
        <v>987619</v>
      </c>
      <c r="U948">
        <v>1</v>
      </c>
      <c r="V948" t="s">
        <v>1583</v>
      </c>
      <c r="W948" t="s">
        <v>1593</v>
      </c>
      <c r="X948">
        <v>17.84</v>
      </c>
    </row>
    <row r="949" spans="1:24" x14ac:dyDescent="0.25">
      <c r="A949" t="s">
        <v>969</v>
      </c>
      <c r="B949" s="4">
        <v>46047</v>
      </c>
      <c r="C949" s="4" t="str">
        <f t="shared" si="28"/>
        <v>Jan</v>
      </c>
      <c r="D949" t="s">
        <v>1522</v>
      </c>
      <c r="E949" t="s">
        <v>1523</v>
      </c>
      <c r="F949" t="s">
        <v>1532</v>
      </c>
      <c r="G949" t="s">
        <v>1547</v>
      </c>
      <c r="H949" t="s">
        <v>4</v>
      </c>
      <c r="I949">
        <v>2023</v>
      </c>
      <c r="J949" t="s">
        <v>1554</v>
      </c>
      <c r="K949" t="s">
        <v>1556</v>
      </c>
      <c r="L949">
        <v>1471089</v>
      </c>
      <c r="M949">
        <v>1245718</v>
      </c>
      <c r="N949">
        <v>225371</v>
      </c>
      <c r="O949">
        <v>55</v>
      </c>
      <c r="P949" t="str">
        <f t="shared" si="29"/>
        <v>senior</v>
      </c>
      <c r="Q949" t="s">
        <v>1559</v>
      </c>
      <c r="R949" t="s">
        <v>1566</v>
      </c>
      <c r="S949" t="s">
        <v>1567</v>
      </c>
      <c r="T949">
        <v>1014638</v>
      </c>
      <c r="U949">
        <v>4</v>
      </c>
      <c r="V949" t="s">
        <v>1581</v>
      </c>
      <c r="W949" t="s">
        <v>1591</v>
      </c>
      <c r="X949">
        <v>15.32</v>
      </c>
    </row>
    <row r="950" spans="1:24" x14ac:dyDescent="0.25">
      <c r="A950" t="s">
        <v>970</v>
      </c>
      <c r="B950" s="4">
        <v>45744</v>
      </c>
      <c r="C950" s="4" t="str">
        <f t="shared" si="28"/>
        <v>Mar</v>
      </c>
      <c r="D950" t="s">
        <v>1522</v>
      </c>
      <c r="E950" t="s">
        <v>1525</v>
      </c>
      <c r="F950" t="s">
        <v>1532</v>
      </c>
      <c r="G950" t="s">
        <v>1538</v>
      </c>
      <c r="H950" t="s">
        <v>1552</v>
      </c>
      <c r="I950">
        <v>2025</v>
      </c>
      <c r="J950" t="s">
        <v>1555</v>
      </c>
      <c r="K950" t="s">
        <v>1556</v>
      </c>
      <c r="L950">
        <v>1972589</v>
      </c>
      <c r="M950">
        <v>1749484</v>
      </c>
      <c r="N950">
        <v>223105</v>
      </c>
      <c r="O950">
        <v>50</v>
      </c>
      <c r="P950" t="str">
        <f t="shared" si="29"/>
        <v>adult</v>
      </c>
      <c r="Q950" t="s">
        <v>1559</v>
      </c>
      <c r="R950" t="s">
        <v>1563</v>
      </c>
      <c r="S950" t="s">
        <v>1568</v>
      </c>
      <c r="T950">
        <v>2106263</v>
      </c>
      <c r="U950">
        <v>3</v>
      </c>
      <c r="V950" t="s">
        <v>1588</v>
      </c>
      <c r="W950" t="s">
        <v>1591</v>
      </c>
      <c r="X950">
        <v>11.31</v>
      </c>
    </row>
    <row r="951" spans="1:24" x14ac:dyDescent="0.25">
      <c r="A951" t="s">
        <v>971</v>
      </c>
      <c r="B951" s="4">
        <v>45944</v>
      </c>
      <c r="C951" s="4" t="str">
        <f t="shared" si="28"/>
        <v>Oct</v>
      </c>
      <c r="D951" t="s">
        <v>1522</v>
      </c>
      <c r="E951" t="s">
        <v>1523</v>
      </c>
      <c r="F951" t="s">
        <v>1534</v>
      </c>
      <c r="G951" t="s">
        <v>1539</v>
      </c>
      <c r="H951" t="s">
        <v>4</v>
      </c>
      <c r="I951">
        <v>2023</v>
      </c>
      <c r="J951" t="s">
        <v>1554</v>
      </c>
      <c r="K951" t="s">
        <v>1556</v>
      </c>
      <c r="L951">
        <v>1677965</v>
      </c>
      <c r="M951">
        <v>1569995</v>
      </c>
      <c r="N951">
        <v>107970</v>
      </c>
      <c r="O951">
        <v>38</v>
      </c>
      <c r="P951" t="str">
        <f t="shared" si="29"/>
        <v>adult</v>
      </c>
      <c r="Q951" t="s">
        <v>1559</v>
      </c>
      <c r="R951" t="s">
        <v>1562</v>
      </c>
      <c r="S951" t="s">
        <v>1569</v>
      </c>
      <c r="T951">
        <v>139357</v>
      </c>
      <c r="U951">
        <v>2</v>
      </c>
      <c r="V951" t="s">
        <v>1574</v>
      </c>
      <c r="W951" t="s">
        <v>1593</v>
      </c>
      <c r="X951">
        <v>6.43</v>
      </c>
    </row>
    <row r="952" spans="1:24" x14ac:dyDescent="0.25">
      <c r="A952" t="s">
        <v>972</v>
      </c>
      <c r="B952" s="4">
        <v>45862</v>
      </c>
      <c r="C952" s="4" t="str">
        <f t="shared" si="28"/>
        <v>Jul</v>
      </c>
      <c r="D952" t="s">
        <v>1522</v>
      </c>
      <c r="E952" t="s">
        <v>1523</v>
      </c>
      <c r="F952" t="s">
        <v>1534</v>
      </c>
      <c r="G952" t="s">
        <v>1542</v>
      </c>
      <c r="H952" t="s">
        <v>1551</v>
      </c>
      <c r="I952">
        <v>2025</v>
      </c>
      <c r="J952" t="s">
        <v>1554</v>
      </c>
      <c r="K952" t="s">
        <v>1557</v>
      </c>
      <c r="L952">
        <v>1000491</v>
      </c>
      <c r="M952">
        <v>929987</v>
      </c>
      <c r="N952">
        <v>70504</v>
      </c>
      <c r="O952">
        <v>27</v>
      </c>
      <c r="P952" t="str">
        <f t="shared" si="29"/>
        <v>young</v>
      </c>
      <c r="Q952" t="s">
        <v>1558</v>
      </c>
      <c r="R952" t="s">
        <v>1564</v>
      </c>
      <c r="S952" t="s">
        <v>1570</v>
      </c>
      <c r="T952">
        <v>832260</v>
      </c>
      <c r="U952">
        <v>4</v>
      </c>
      <c r="V952" t="s">
        <v>1579</v>
      </c>
      <c r="W952" t="s">
        <v>1594</v>
      </c>
      <c r="X952">
        <v>7.05</v>
      </c>
    </row>
    <row r="953" spans="1:24" x14ac:dyDescent="0.25">
      <c r="A953" t="s">
        <v>973</v>
      </c>
      <c r="B953" s="4">
        <v>46145</v>
      </c>
      <c r="C953" s="4" t="str">
        <f t="shared" si="28"/>
        <v>May</v>
      </c>
      <c r="D953" t="s">
        <v>1522</v>
      </c>
      <c r="E953" t="s">
        <v>1524</v>
      </c>
      <c r="F953" t="s">
        <v>1535</v>
      </c>
      <c r="G953" t="s">
        <v>1549</v>
      </c>
      <c r="H953" t="s">
        <v>4</v>
      </c>
      <c r="I953">
        <v>2025</v>
      </c>
      <c r="J953" t="s">
        <v>1554</v>
      </c>
      <c r="K953" t="s">
        <v>1557</v>
      </c>
      <c r="L953">
        <v>1709585</v>
      </c>
      <c r="M953">
        <v>1585884</v>
      </c>
      <c r="N953">
        <v>123701</v>
      </c>
      <c r="O953">
        <v>23</v>
      </c>
      <c r="P953" t="str">
        <f t="shared" si="29"/>
        <v>young</v>
      </c>
      <c r="Q953" t="s">
        <v>1558</v>
      </c>
      <c r="R953" t="s">
        <v>1564</v>
      </c>
      <c r="S953" t="s">
        <v>1567</v>
      </c>
      <c r="T953">
        <v>1706097</v>
      </c>
      <c r="U953">
        <v>1</v>
      </c>
      <c r="V953" t="s">
        <v>1590</v>
      </c>
      <c r="W953" t="s">
        <v>1592</v>
      </c>
      <c r="X953">
        <v>7.24</v>
      </c>
    </row>
    <row r="954" spans="1:24" x14ac:dyDescent="0.25">
      <c r="A954" t="s">
        <v>974</v>
      </c>
      <c r="B954" s="4">
        <v>45661</v>
      </c>
      <c r="C954" s="4" t="str">
        <f t="shared" si="28"/>
        <v>Jan</v>
      </c>
      <c r="D954" t="s">
        <v>1522</v>
      </c>
      <c r="E954" t="s">
        <v>1524</v>
      </c>
      <c r="F954" t="s">
        <v>1530</v>
      </c>
      <c r="G954" t="s">
        <v>1549</v>
      </c>
      <c r="H954" t="s">
        <v>4</v>
      </c>
      <c r="I954">
        <v>2024</v>
      </c>
      <c r="J954" t="s">
        <v>1554</v>
      </c>
      <c r="K954" t="s">
        <v>1556</v>
      </c>
      <c r="L954">
        <v>1787769</v>
      </c>
      <c r="M954">
        <v>1643842</v>
      </c>
      <c r="N954">
        <v>143927</v>
      </c>
      <c r="O954">
        <v>39</v>
      </c>
      <c r="P954" t="str">
        <f t="shared" si="29"/>
        <v>adult</v>
      </c>
      <c r="Q954" t="s">
        <v>1558</v>
      </c>
      <c r="R954" t="s">
        <v>1563</v>
      </c>
      <c r="S954" t="s">
        <v>1567</v>
      </c>
      <c r="T954">
        <v>1296106</v>
      </c>
      <c r="U954">
        <v>4</v>
      </c>
      <c r="V954" t="s">
        <v>1571</v>
      </c>
      <c r="W954" t="s">
        <v>1591</v>
      </c>
      <c r="X954">
        <v>8.0500000000000007</v>
      </c>
    </row>
    <row r="955" spans="1:24" x14ac:dyDescent="0.25">
      <c r="A955" t="s">
        <v>975</v>
      </c>
      <c r="B955" s="4">
        <v>46260</v>
      </c>
      <c r="C955" s="4" t="str">
        <f t="shared" si="28"/>
        <v>Aug</v>
      </c>
      <c r="D955" t="s">
        <v>1522</v>
      </c>
      <c r="E955" t="s">
        <v>1524</v>
      </c>
      <c r="F955" t="s">
        <v>1535</v>
      </c>
      <c r="G955" t="s">
        <v>1540</v>
      </c>
      <c r="H955" t="s">
        <v>1551</v>
      </c>
      <c r="I955">
        <v>2025</v>
      </c>
      <c r="J955" t="s">
        <v>1554</v>
      </c>
      <c r="K955" t="s">
        <v>1556</v>
      </c>
      <c r="L955">
        <v>757344</v>
      </c>
      <c r="M955">
        <v>653930</v>
      </c>
      <c r="N955">
        <v>103414</v>
      </c>
      <c r="O955">
        <v>52</v>
      </c>
      <c r="P955" t="str">
        <f t="shared" si="29"/>
        <v>senior</v>
      </c>
      <c r="Q955" t="s">
        <v>1558</v>
      </c>
      <c r="R955" t="s">
        <v>1565</v>
      </c>
      <c r="S955" t="s">
        <v>1567</v>
      </c>
      <c r="T955">
        <v>271537</v>
      </c>
      <c r="U955">
        <v>5</v>
      </c>
      <c r="V955" t="s">
        <v>1576</v>
      </c>
      <c r="W955" t="s">
        <v>1594</v>
      </c>
      <c r="X955">
        <v>13.65</v>
      </c>
    </row>
    <row r="956" spans="1:24" x14ac:dyDescent="0.25">
      <c r="A956" t="s">
        <v>976</v>
      </c>
      <c r="B956" s="4">
        <v>45904</v>
      </c>
      <c r="C956" s="4" t="str">
        <f t="shared" si="28"/>
        <v>Sep</v>
      </c>
      <c r="D956" t="s">
        <v>1522</v>
      </c>
      <c r="E956" t="s">
        <v>1527</v>
      </c>
      <c r="F956" t="s">
        <v>1530</v>
      </c>
      <c r="G956" t="s">
        <v>1547</v>
      </c>
      <c r="H956" t="s">
        <v>1551</v>
      </c>
      <c r="I956">
        <v>2024</v>
      </c>
      <c r="J956" t="s">
        <v>1554</v>
      </c>
      <c r="K956" t="s">
        <v>1556</v>
      </c>
      <c r="L956">
        <v>1061924</v>
      </c>
      <c r="M956">
        <v>974705</v>
      </c>
      <c r="N956">
        <v>87219</v>
      </c>
      <c r="O956">
        <v>57</v>
      </c>
      <c r="P956" t="str">
        <f t="shared" si="29"/>
        <v>senior</v>
      </c>
      <c r="Q956" t="s">
        <v>1558</v>
      </c>
      <c r="R956" t="s">
        <v>1563</v>
      </c>
      <c r="S956" t="s">
        <v>1568</v>
      </c>
      <c r="T956">
        <v>1915730</v>
      </c>
      <c r="U956">
        <v>2</v>
      </c>
      <c r="V956" t="s">
        <v>1577</v>
      </c>
      <c r="W956" t="s">
        <v>1594</v>
      </c>
      <c r="X956">
        <v>8.2100000000000009</v>
      </c>
    </row>
    <row r="957" spans="1:24" x14ac:dyDescent="0.25">
      <c r="A957" t="s">
        <v>977</v>
      </c>
      <c r="B957" s="4">
        <v>45814</v>
      </c>
      <c r="C957" s="4" t="str">
        <f t="shared" si="28"/>
        <v>Jun</v>
      </c>
      <c r="D957" t="s">
        <v>1522</v>
      </c>
      <c r="E957" t="s">
        <v>1523</v>
      </c>
      <c r="F957" t="s">
        <v>1530</v>
      </c>
      <c r="G957" t="s">
        <v>1542</v>
      </c>
      <c r="H957" t="s">
        <v>4</v>
      </c>
      <c r="I957">
        <v>2026</v>
      </c>
      <c r="J957" t="s">
        <v>1554</v>
      </c>
      <c r="K957" t="s">
        <v>1556</v>
      </c>
      <c r="L957">
        <v>1518298</v>
      </c>
      <c r="M957">
        <v>1282811</v>
      </c>
      <c r="N957">
        <v>235487</v>
      </c>
      <c r="O957">
        <v>33</v>
      </c>
      <c r="P957" t="str">
        <f t="shared" si="29"/>
        <v>adult</v>
      </c>
      <c r="Q957" t="s">
        <v>1559</v>
      </c>
      <c r="R957" t="s">
        <v>1566</v>
      </c>
      <c r="S957" t="s">
        <v>1570</v>
      </c>
      <c r="T957">
        <v>731837</v>
      </c>
      <c r="U957">
        <v>3</v>
      </c>
      <c r="V957" t="s">
        <v>1584</v>
      </c>
      <c r="W957" t="s">
        <v>1592</v>
      </c>
      <c r="X957">
        <v>15.51</v>
      </c>
    </row>
    <row r="958" spans="1:24" x14ac:dyDescent="0.25">
      <c r="A958" t="s">
        <v>978</v>
      </c>
      <c r="B958" s="4">
        <v>45971</v>
      </c>
      <c r="C958" s="4" t="str">
        <f t="shared" si="28"/>
        <v>Nov</v>
      </c>
      <c r="D958" t="s">
        <v>1522</v>
      </c>
      <c r="E958" t="s">
        <v>1527</v>
      </c>
      <c r="F958" t="s">
        <v>1536</v>
      </c>
      <c r="G958" t="s">
        <v>1543</v>
      </c>
      <c r="H958" t="s">
        <v>1550</v>
      </c>
      <c r="I958">
        <v>2022</v>
      </c>
      <c r="J958" t="s">
        <v>1554</v>
      </c>
      <c r="K958" t="s">
        <v>1556</v>
      </c>
      <c r="L958">
        <v>1437571</v>
      </c>
      <c r="M958">
        <v>1327238</v>
      </c>
      <c r="N958">
        <v>110333</v>
      </c>
      <c r="O958">
        <v>65</v>
      </c>
      <c r="P958" t="str">
        <f t="shared" si="29"/>
        <v>senior</v>
      </c>
      <c r="Q958" t="s">
        <v>1558</v>
      </c>
      <c r="R958" t="s">
        <v>1565</v>
      </c>
      <c r="S958" t="s">
        <v>1570</v>
      </c>
      <c r="T958">
        <v>1439405</v>
      </c>
      <c r="U958">
        <v>1</v>
      </c>
      <c r="V958" t="s">
        <v>1583</v>
      </c>
      <c r="W958" t="s">
        <v>1593</v>
      </c>
      <c r="X958">
        <v>7.67</v>
      </c>
    </row>
    <row r="959" spans="1:24" x14ac:dyDescent="0.25">
      <c r="A959" t="s">
        <v>979</v>
      </c>
      <c r="B959" s="4">
        <v>45878</v>
      </c>
      <c r="C959" s="4" t="str">
        <f t="shared" si="28"/>
        <v>Aug</v>
      </c>
      <c r="D959" t="s">
        <v>1522</v>
      </c>
      <c r="E959" t="s">
        <v>1525</v>
      </c>
      <c r="F959" t="s">
        <v>1529</v>
      </c>
      <c r="G959" t="s">
        <v>1544</v>
      </c>
      <c r="H959" t="s">
        <v>1552</v>
      </c>
      <c r="I959">
        <v>2024</v>
      </c>
      <c r="J959" t="s">
        <v>1555</v>
      </c>
      <c r="K959" t="s">
        <v>1556</v>
      </c>
      <c r="L959">
        <v>1889312</v>
      </c>
      <c r="M959">
        <v>1711903</v>
      </c>
      <c r="N959">
        <v>177409</v>
      </c>
      <c r="O959">
        <v>28</v>
      </c>
      <c r="P959" t="str">
        <f t="shared" si="29"/>
        <v>young</v>
      </c>
      <c r="Q959" t="s">
        <v>1559</v>
      </c>
      <c r="R959" t="s">
        <v>1561</v>
      </c>
      <c r="S959" t="s">
        <v>1567</v>
      </c>
      <c r="T959">
        <v>1844734</v>
      </c>
      <c r="U959">
        <v>3</v>
      </c>
      <c r="V959" t="s">
        <v>1585</v>
      </c>
      <c r="W959" t="s">
        <v>1594</v>
      </c>
      <c r="X959">
        <v>9.39</v>
      </c>
    </row>
    <row r="960" spans="1:24" x14ac:dyDescent="0.25">
      <c r="A960" t="s">
        <v>980</v>
      </c>
      <c r="B960" s="4">
        <v>45809</v>
      </c>
      <c r="C960" s="4" t="str">
        <f t="shared" si="28"/>
        <v>Jun</v>
      </c>
      <c r="D960" t="s">
        <v>1522</v>
      </c>
      <c r="E960" t="s">
        <v>1523</v>
      </c>
      <c r="F960" t="s">
        <v>1534</v>
      </c>
      <c r="G960" t="s">
        <v>1540</v>
      </c>
      <c r="H960" t="s">
        <v>4</v>
      </c>
      <c r="I960">
        <v>2024</v>
      </c>
      <c r="J960" t="s">
        <v>1554</v>
      </c>
      <c r="K960" t="s">
        <v>1556</v>
      </c>
      <c r="L960">
        <v>1450279</v>
      </c>
      <c r="M960">
        <v>1172873</v>
      </c>
      <c r="N960">
        <v>277406</v>
      </c>
      <c r="O960">
        <v>22</v>
      </c>
      <c r="P960" t="str">
        <f t="shared" si="29"/>
        <v>young</v>
      </c>
      <c r="Q960" t="s">
        <v>1558</v>
      </c>
      <c r="R960" t="s">
        <v>1566</v>
      </c>
      <c r="S960" t="s">
        <v>1567</v>
      </c>
      <c r="T960">
        <v>1144494</v>
      </c>
      <c r="U960">
        <v>2</v>
      </c>
      <c r="V960" t="s">
        <v>1584</v>
      </c>
      <c r="W960" t="s">
        <v>1592</v>
      </c>
      <c r="X960">
        <v>19.13</v>
      </c>
    </row>
    <row r="961" spans="1:24" x14ac:dyDescent="0.25">
      <c r="A961" t="s">
        <v>981</v>
      </c>
      <c r="B961" s="4">
        <v>45819</v>
      </c>
      <c r="C961" s="4" t="str">
        <f t="shared" si="28"/>
        <v>Jun</v>
      </c>
      <c r="D961" t="s">
        <v>1522</v>
      </c>
      <c r="E961" t="s">
        <v>1526</v>
      </c>
      <c r="F961" t="s">
        <v>1532</v>
      </c>
      <c r="G961" t="s">
        <v>1549</v>
      </c>
      <c r="H961" t="s">
        <v>4</v>
      </c>
      <c r="I961">
        <v>2023</v>
      </c>
      <c r="J961" t="s">
        <v>1554</v>
      </c>
      <c r="K961" t="s">
        <v>1556</v>
      </c>
      <c r="L961">
        <v>1695071</v>
      </c>
      <c r="M961">
        <v>1513951</v>
      </c>
      <c r="N961">
        <v>181120</v>
      </c>
      <c r="O961">
        <v>24</v>
      </c>
      <c r="P961" t="str">
        <f t="shared" si="29"/>
        <v>young</v>
      </c>
      <c r="Q961" t="s">
        <v>1559</v>
      </c>
      <c r="R961" t="s">
        <v>1561</v>
      </c>
      <c r="S961" t="s">
        <v>1568</v>
      </c>
      <c r="T961">
        <v>307220</v>
      </c>
      <c r="U961">
        <v>5</v>
      </c>
      <c r="V961" t="s">
        <v>1584</v>
      </c>
      <c r="W961" t="s">
        <v>1592</v>
      </c>
      <c r="X961">
        <v>10.69</v>
      </c>
    </row>
    <row r="962" spans="1:24" x14ac:dyDescent="0.25">
      <c r="A962" t="s">
        <v>982</v>
      </c>
      <c r="B962" s="4">
        <v>45818</v>
      </c>
      <c r="C962" s="4" t="str">
        <f t="shared" si="28"/>
        <v>Jun</v>
      </c>
      <c r="D962" t="s">
        <v>1522</v>
      </c>
      <c r="E962" t="s">
        <v>1527</v>
      </c>
      <c r="F962" t="s">
        <v>1529</v>
      </c>
      <c r="G962" t="s">
        <v>1549</v>
      </c>
      <c r="H962" t="s">
        <v>1550</v>
      </c>
      <c r="I962">
        <v>2025</v>
      </c>
      <c r="J962" t="s">
        <v>1554</v>
      </c>
      <c r="K962" t="s">
        <v>1557</v>
      </c>
      <c r="L962">
        <v>1326141</v>
      </c>
      <c r="M962">
        <v>1230867</v>
      </c>
      <c r="N962">
        <v>95274</v>
      </c>
      <c r="O962">
        <v>59</v>
      </c>
      <c r="P962" t="str">
        <f t="shared" si="29"/>
        <v>senior</v>
      </c>
      <c r="Q962" t="s">
        <v>1558</v>
      </c>
      <c r="R962" t="s">
        <v>1565</v>
      </c>
      <c r="S962" t="s">
        <v>1567</v>
      </c>
      <c r="T962">
        <v>675682</v>
      </c>
      <c r="U962">
        <v>2</v>
      </c>
      <c r="V962" t="s">
        <v>1584</v>
      </c>
      <c r="W962" t="s">
        <v>1592</v>
      </c>
      <c r="X962">
        <v>7.18</v>
      </c>
    </row>
    <row r="963" spans="1:24" x14ac:dyDescent="0.25">
      <c r="A963" t="s">
        <v>983</v>
      </c>
      <c r="B963" s="4">
        <v>46117</v>
      </c>
      <c r="C963" s="4" t="str">
        <f t="shared" ref="C963:C1026" si="30">TEXT(B963,"MMM")</f>
        <v>Apr</v>
      </c>
      <c r="D963" t="s">
        <v>1522</v>
      </c>
      <c r="E963" t="s">
        <v>1525</v>
      </c>
      <c r="F963" t="s">
        <v>1534</v>
      </c>
      <c r="G963" t="s">
        <v>1540</v>
      </c>
      <c r="H963" t="s">
        <v>1551</v>
      </c>
      <c r="I963">
        <v>2022</v>
      </c>
      <c r="J963" t="s">
        <v>1554</v>
      </c>
      <c r="K963" t="s">
        <v>1556</v>
      </c>
      <c r="L963">
        <v>824622</v>
      </c>
      <c r="M963">
        <v>796438</v>
      </c>
      <c r="N963">
        <v>28184</v>
      </c>
      <c r="O963">
        <v>37</v>
      </c>
      <c r="P963" t="str">
        <f t="shared" ref="P963:P1026" si="31">IF(O963&gt;50,"senior",IF(O963&gt;30,"adult","young"))</f>
        <v>adult</v>
      </c>
      <c r="Q963" t="s">
        <v>1558</v>
      </c>
      <c r="R963" t="s">
        <v>1565</v>
      </c>
      <c r="S963" t="s">
        <v>1567</v>
      </c>
      <c r="T963">
        <v>926443</v>
      </c>
      <c r="U963">
        <v>1</v>
      </c>
      <c r="V963" t="s">
        <v>1580</v>
      </c>
      <c r="W963" t="s">
        <v>1592</v>
      </c>
      <c r="X963">
        <v>3.42</v>
      </c>
    </row>
    <row r="964" spans="1:24" x14ac:dyDescent="0.25">
      <c r="A964" t="s">
        <v>984</v>
      </c>
      <c r="B964" s="4">
        <v>45802</v>
      </c>
      <c r="C964" s="4" t="str">
        <f t="shared" si="30"/>
        <v>May</v>
      </c>
      <c r="D964" t="s">
        <v>1522</v>
      </c>
      <c r="E964" t="s">
        <v>1525</v>
      </c>
      <c r="F964" t="s">
        <v>1535</v>
      </c>
      <c r="G964" t="s">
        <v>1543</v>
      </c>
      <c r="H964" t="s">
        <v>4</v>
      </c>
      <c r="I964">
        <v>2025</v>
      </c>
      <c r="J964" t="s">
        <v>1554</v>
      </c>
      <c r="K964" t="s">
        <v>1557</v>
      </c>
      <c r="L964">
        <v>1829962</v>
      </c>
      <c r="M964">
        <v>1581608</v>
      </c>
      <c r="N964">
        <v>248354</v>
      </c>
      <c r="O964">
        <v>62</v>
      </c>
      <c r="P964" t="str">
        <f t="shared" si="31"/>
        <v>senior</v>
      </c>
      <c r="Q964" t="s">
        <v>1558</v>
      </c>
      <c r="R964" t="s">
        <v>1563</v>
      </c>
      <c r="S964" t="s">
        <v>1569</v>
      </c>
      <c r="T964">
        <v>1445653</v>
      </c>
      <c r="U964">
        <v>5</v>
      </c>
      <c r="V964" t="s">
        <v>1572</v>
      </c>
      <c r="W964" t="s">
        <v>1592</v>
      </c>
      <c r="X964">
        <v>13.57</v>
      </c>
    </row>
    <row r="965" spans="1:24" x14ac:dyDescent="0.25">
      <c r="A965" t="s">
        <v>985</v>
      </c>
      <c r="B965" s="4">
        <v>45882</v>
      </c>
      <c r="C965" s="4" t="str">
        <f t="shared" si="30"/>
        <v>Aug</v>
      </c>
      <c r="D965" t="s">
        <v>1522</v>
      </c>
      <c r="E965" t="s">
        <v>1524</v>
      </c>
      <c r="F965" t="s">
        <v>1533</v>
      </c>
      <c r="G965" t="s">
        <v>1549</v>
      </c>
      <c r="H965" t="s">
        <v>4</v>
      </c>
      <c r="I965">
        <v>2025</v>
      </c>
      <c r="J965" t="s">
        <v>1554</v>
      </c>
      <c r="K965" t="s">
        <v>1556</v>
      </c>
      <c r="L965">
        <v>1776737</v>
      </c>
      <c r="M965">
        <v>1449945</v>
      </c>
      <c r="N965">
        <v>326792</v>
      </c>
      <c r="O965">
        <v>49</v>
      </c>
      <c r="P965" t="str">
        <f t="shared" si="31"/>
        <v>adult</v>
      </c>
      <c r="Q965" t="s">
        <v>1559</v>
      </c>
      <c r="R965" t="s">
        <v>1562</v>
      </c>
      <c r="S965" t="s">
        <v>1567</v>
      </c>
      <c r="T965">
        <v>19863</v>
      </c>
      <c r="U965">
        <v>4</v>
      </c>
      <c r="V965" t="s">
        <v>1585</v>
      </c>
      <c r="W965" t="s">
        <v>1594</v>
      </c>
      <c r="X965">
        <v>18.39</v>
      </c>
    </row>
    <row r="966" spans="1:24" x14ac:dyDescent="0.25">
      <c r="A966" t="s">
        <v>986</v>
      </c>
      <c r="B966" s="4">
        <v>45951</v>
      </c>
      <c r="C966" s="4" t="str">
        <f t="shared" si="30"/>
        <v>Oct</v>
      </c>
      <c r="D966" t="s">
        <v>1522</v>
      </c>
      <c r="E966" t="s">
        <v>1525</v>
      </c>
      <c r="F966" t="s">
        <v>1528</v>
      </c>
      <c r="G966" t="s">
        <v>1540</v>
      </c>
      <c r="H966" t="s">
        <v>1552</v>
      </c>
      <c r="I966">
        <v>2024</v>
      </c>
      <c r="J966" t="s">
        <v>1555</v>
      </c>
      <c r="K966" t="s">
        <v>1556</v>
      </c>
      <c r="L966">
        <v>1826526</v>
      </c>
      <c r="M966">
        <v>1655854</v>
      </c>
      <c r="N966">
        <v>170672</v>
      </c>
      <c r="O966">
        <v>53</v>
      </c>
      <c r="P966" t="str">
        <f t="shared" si="31"/>
        <v>senior</v>
      </c>
      <c r="Q966" t="s">
        <v>1559</v>
      </c>
      <c r="R966" t="s">
        <v>1563</v>
      </c>
      <c r="S966" t="s">
        <v>1570</v>
      </c>
      <c r="T966">
        <v>680706</v>
      </c>
      <c r="U966">
        <v>2</v>
      </c>
      <c r="V966" t="s">
        <v>1574</v>
      </c>
      <c r="W966" t="s">
        <v>1593</v>
      </c>
      <c r="X966">
        <v>9.34</v>
      </c>
    </row>
    <row r="967" spans="1:24" x14ac:dyDescent="0.25">
      <c r="A967" t="s">
        <v>987</v>
      </c>
      <c r="B967" s="4">
        <v>46202</v>
      </c>
      <c r="C967" s="4" t="str">
        <f t="shared" si="30"/>
        <v>Jun</v>
      </c>
      <c r="D967" t="s">
        <v>1522</v>
      </c>
      <c r="E967" t="s">
        <v>1523</v>
      </c>
      <c r="F967" t="s">
        <v>1536</v>
      </c>
      <c r="G967" t="s">
        <v>1546</v>
      </c>
      <c r="H967" t="s">
        <v>1550</v>
      </c>
      <c r="I967">
        <v>2024</v>
      </c>
      <c r="J967" t="s">
        <v>1554</v>
      </c>
      <c r="K967" t="s">
        <v>1556</v>
      </c>
      <c r="L967">
        <v>1279314</v>
      </c>
      <c r="M967">
        <v>1115643</v>
      </c>
      <c r="N967">
        <v>163671</v>
      </c>
      <c r="O967">
        <v>56</v>
      </c>
      <c r="P967" t="str">
        <f t="shared" si="31"/>
        <v>senior</v>
      </c>
      <c r="Q967" t="s">
        <v>1558</v>
      </c>
      <c r="R967" t="s">
        <v>1564</v>
      </c>
      <c r="S967" t="s">
        <v>1569</v>
      </c>
      <c r="T967">
        <v>1948701</v>
      </c>
      <c r="U967">
        <v>2</v>
      </c>
      <c r="V967" t="s">
        <v>1582</v>
      </c>
      <c r="W967" t="s">
        <v>1592</v>
      </c>
      <c r="X967">
        <v>12.79</v>
      </c>
    </row>
    <row r="968" spans="1:24" x14ac:dyDescent="0.25">
      <c r="A968" t="s">
        <v>988</v>
      </c>
      <c r="B968" s="4">
        <v>46145</v>
      </c>
      <c r="C968" s="4" t="str">
        <f t="shared" si="30"/>
        <v>May</v>
      </c>
      <c r="D968" t="s">
        <v>1522</v>
      </c>
      <c r="E968" t="s">
        <v>1525</v>
      </c>
      <c r="F968" t="s">
        <v>1532</v>
      </c>
      <c r="G968" t="s">
        <v>1546</v>
      </c>
      <c r="H968" t="s">
        <v>1551</v>
      </c>
      <c r="I968">
        <v>2024</v>
      </c>
      <c r="J968" t="s">
        <v>1554</v>
      </c>
      <c r="K968" t="s">
        <v>1557</v>
      </c>
      <c r="L968">
        <v>776577</v>
      </c>
      <c r="M968">
        <v>759226</v>
      </c>
      <c r="N968">
        <v>17351</v>
      </c>
      <c r="O968">
        <v>26</v>
      </c>
      <c r="P968" t="str">
        <f t="shared" si="31"/>
        <v>young</v>
      </c>
      <c r="Q968" t="s">
        <v>1558</v>
      </c>
      <c r="R968" t="s">
        <v>1566</v>
      </c>
      <c r="S968" t="s">
        <v>1567</v>
      </c>
      <c r="T968">
        <v>1076324</v>
      </c>
      <c r="U968">
        <v>4</v>
      </c>
      <c r="V968" t="s">
        <v>1590</v>
      </c>
      <c r="W968" t="s">
        <v>1592</v>
      </c>
      <c r="X968">
        <v>2.23</v>
      </c>
    </row>
    <row r="969" spans="1:24" x14ac:dyDescent="0.25">
      <c r="A969" t="s">
        <v>989</v>
      </c>
      <c r="B969" s="4">
        <v>45928</v>
      </c>
      <c r="C969" s="4" t="str">
        <f t="shared" si="30"/>
        <v>Sep</v>
      </c>
      <c r="D969" t="s">
        <v>1522</v>
      </c>
      <c r="E969" t="s">
        <v>1526</v>
      </c>
      <c r="F969" t="s">
        <v>1528</v>
      </c>
      <c r="G969" t="s">
        <v>1539</v>
      </c>
      <c r="H969" t="s">
        <v>4</v>
      </c>
      <c r="I969">
        <v>2024</v>
      </c>
      <c r="J969" t="s">
        <v>1554</v>
      </c>
      <c r="K969" t="s">
        <v>1557</v>
      </c>
      <c r="L969">
        <v>1292627</v>
      </c>
      <c r="M969">
        <v>1134748</v>
      </c>
      <c r="N969">
        <v>157879</v>
      </c>
      <c r="O969">
        <v>38</v>
      </c>
      <c r="P969" t="str">
        <f t="shared" si="31"/>
        <v>adult</v>
      </c>
      <c r="Q969" t="s">
        <v>1558</v>
      </c>
      <c r="R969" t="s">
        <v>1561</v>
      </c>
      <c r="S969" t="s">
        <v>1570</v>
      </c>
      <c r="T969">
        <v>1978612</v>
      </c>
      <c r="U969">
        <v>5</v>
      </c>
      <c r="V969" t="s">
        <v>1577</v>
      </c>
      <c r="W969" t="s">
        <v>1594</v>
      </c>
      <c r="X969">
        <v>12.21</v>
      </c>
    </row>
    <row r="970" spans="1:24" x14ac:dyDescent="0.25">
      <c r="A970" t="s">
        <v>990</v>
      </c>
      <c r="B970" s="4">
        <v>46199</v>
      </c>
      <c r="C970" s="4" t="str">
        <f t="shared" si="30"/>
        <v>Jun</v>
      </c>
      <c r="D970" t="s">
        <v>1522</v>
      </c>
      <c r="E970" t="s">
        <v>1523</v>
      </c>
      <c r="F970" t="s">
        <v>1530</v>
      </c>
      <c r="G970" t="s">
        <v>1539</v>
      </c>
      <c r="H970" t="s">
        <v>1552</v>
      </c>
      <c r="I970">
        <v>2024</v>
      </c>
      <c r="J970" t="s">
        <v>1555</v>
      </c>
      <c r="K970" t="s">
        <v>1556</v>
      </c>
      <c r="L970">
        <v>1826826</v>
      </c>
      <c r="M970">
        <v>1565761</v>
      </c>
      <c r="N970">
        <v>261065</v>
      </c>
      <c r="O970">
        <v>31</v>
      </c>
      <c r="P970" t="str">
        <f t="shared" si="31"/>
        <v>adult</v>
      </c>
      <c r="Q970" t="s">
        <v>1559</v>
      </c>
      <c r="R970" t="s">
        <v>1565</v>
      </c>
      <c r="S970" t="s">
        <v>1568</v>
      </c>
      <c r="T970">
        <v>2196160</v>
      </c>
      <c r="U970">
        <v>2</v>
      </c>
      <c r="V970" t="s">
        <v>1582</v>
      </c>
      <c r="W970" t="s">
        <v>1592</v>
      </c>
      <c r="X970">
        <v>14.29</v>
      </c>
    </row>
    <row r="971" spans="1:24" x14ac:dyDescent="0.25">
      <c r="A971" t="s">
        <v>991</v>
      </c>
      <c r="B971" s="4">
        <v>45867</v>
      </c>
      <c r="C971" s="4" t="str">
        <f t="shared" si="30"/>
        <v>Jul</v>
      </c>
      <c r="D971" t="s">
        <v>1522</v>
      </c>
      <c r="E971" t="s">
        <v>1526</v>
      </c>
      <c r="F971" t="s">
        <v>1535</v>
      </c>
      <c r="G971" t="s">
        <v>1549</v>
      </c>
      <c r="H971" t="s">
        <v>4</v>
      </c>
      <c r="I971">
        <v>2025</v>
      </c>
      <c r="J971" t="s">
        <v>1554</v>
      </c>
      <c r="K971" t="s">
        <v>1556</v>
      </c>
      <c r="L971">
        <v>1735655</v>
      </c>
      <c r="M971">
        <v>1646412</v>
      </c>
      <c r="N971">
        <v>89243</v>
      </c>
      <c r="O971">
        <v>23</v>
      </c>
      <c r="P971" t="str">
        <f t="shared" si="31"/>
        <v>young</v>
      </c>
      <c r="Q971" t="s">
        <v>1560</v>
      </c>
      <c r="R971" t="s">
        <v>1566</v>
      </c>
      <c r="S971" t="s">
        <v>1568</v>
      </c>
      <c r="T971">
        <v>1608871</v>
      </c>
      <c r="U971">
        <v>3</v>
      </c>
      <c r="V971" t="s">
        <v>1579</v>
      </c>
      <c r="W971" t="s">
        <v>1594</v>
      </c>
      <c r="X971">
        <v>5.14</v>
      </c>
    </row>
    <row r="972" spans="1:24" x14ac:dyDescent="0.25">
      <c r="A972" t="s">
        <v>992</v>
      </c>
      <c r="B972" s="4">
        <v>45931</v>
      </c>
      <c r="C972" s="4" t="str">
        <f t="shared" si="30"/>
        <v>Oct</v>
      </c>
      <c r="D972" t="s">
        <v>1522</v>
      </c>
      <c r="E972" t="s">
        <v>1524</v>
      </c>
      <c r="F972" t="s">
        <v>1536</v>
      </c>
      <c r="G972" t="s">
        <v>1547</v>
      </c>
      <c r="H972" t="s">
        <v>4</v>
      </c>
      <c r="I972">
        <v>2024</v>
      </c>
      <c r="J972" t="s">
        <v>1554</v>
      </c>
      <c r="K972" t="s">
        <v>1556</v>
      </c>
      <c r="L972">
        <v>1642843</v>
      </c>
      <c r="M972">
        <v>1456854</v>
      </c>
      <c r="N972">
        <v>185989</v>
      </c>
      <c r="O972">
        <v>49</v>
      </c>
      <c r="P972" t="str">
        <f t="shared" si="31"/>
        <v>adult</v>
      </c>
      <c r="Q972" t="s">
        <v>1559</v>
      </c>
      <c r="R972" t="s">
        <v>1562</v>
      </c>
      <c r="S972" t="s">
        <v>1569</v>
      </c>
      <c r="T972">
        <v>1390179</v>
      </c>
      <c r="U972">
        <v>5</v>
      </c>
      <c r="V972" t="s">
        <v>1574</v>
      </c>
      <c r="W972" t="s">
        <v>1593</v>
      </c>
      <c r="X972">
        <v>11.32</v>
      </c>
    </row>
    <row r="973" spans="1:24" x14ac:dyDescent="0.25">
      <c r="A973" t="s">
        <v>993</v>
      </c>
      <c r="B973" s="4">
        <v>46075</v>
      </c>
      <c r="C973" s="4" t="str">
        <f t="shared" si="30"/>
        <v>Feb</v>
      </c>
      <c r="D973" t="s">
        <v>1522</v>
      </c>
      <c r="E973" t="s">
        <v>1526</v>
      </c>
      <c r="F973" t="s">
        <v>1528</v>
      </c>
      <c r="G973" t="s">
        <v>1545</v>
      </c>
      <c r="H973" t="s">
        <v>1550</v>
      </c>
      <c r="I973">
        <v>2025</v>
      </c>
      <c r="J973" t="s">
        <v>1554</v>
      </c>
      <c r="K973" t="s">
        <v>1557</v>
      </c>
      <c r="L973">
        <v>1287162</v>
      </c>
      <c r="M973">
        <v>1100866</v>
      </c>
      <c r="N973">
        <v>186296</v>
      </c>
      <c r="O973">
        <v>58</v>
      </c>
      <c r="P973" t="str">
        <f t="shared" si="31"/>
        <v>senior</v>
      </c>
      <c r="Q973" t="s">
        <v>1559</v>
      </c>
      <c r="R973" t="s">
        <v>1562</v>
      </c>
      <c r="S973" t="s">
        <v>1568</v>
      </c>
      <c r="T973">
        <v>318096</v>
      </c>
      <c r="U973">
        <v>4</v>
      </c>
      <c r="V973" t="s">
        <v>1589</v>
      </c>
      <c r="W973" t="s">
        <v>1591</v>
      </c>
      <c r="X973">
        <v>14.47</v>
      </c>
    </row>
    <row r="974" spans="1:24" x14ac:dyDescent="0.25">
      <c r="A974" t="s">
        <v>994</v>
      </c>
      <c r="B974" s="4">
        <v>45822</v>
      </c>
      <c r="C974" s="4" t="str">
        <f t="shared" si="30"/>
        <v>Jun</v>
      </c>
      <c r="D974" t="s">
        <v>1522</v>
      </c>
      <c r="E974" t="s">
        <v>1524</v>
      </c>
      <c r="F974" t="s">
        <v>1529</v>
      </c>
      <c r="G974" t="s">
        <v>1546</v>
      </c>
      <c r="H974" t="s">
        <v>1550</v>
      </c>
      <c r="I974">
        <v>2024</v>
      </c>
      <c r="J974" t="s">
        <v>1554</v>
      </c>
      <c r="K974" t="s">
        <v>1557</v>
      </c>
      <c r="L974">
        <v>1168941</v>
      </c>
      <c r="M974">
        <v>1006306</v>
      </c>
      <c r="N974">
        <v>162635</v>
      </c>
      <c r="O974">
        <v>62</v>
      </c>
      <c r="P974" t="str">
        <f t="shared" si="31"/>
        <v>senior</v>
      </c>
      <c r="Q974" t="s">
        <v>1558</v>
      </c>
      <c r="R974" t="s">
        <v>1564</v>
      </c>
      <c r="S974" t="s">
        <v>1569</v>
      </c>
      <c r="T974">
        <v>1225646</v>
      </c>
      <c r="U974">
        <v>1</v>
      </c>
      <c r="V974" t="s">
        <v>1584</v>
      </c>
      <c r="W974" t="s">
        <v>1592</v>
      </c>
      <c r="X974">
        <v>13.91</v>
      </c>
    </row>
    <row r="975" spans="1:24" x14ac:dyDescent="0.25">
      <c r="A975" t="s">
        <v>995</v>
      </c>
      <c r="B975" s="4">
        <v>46221</v>
      </c>
      <c r="C975" s="4" t="str">
        <f t="shared" si="30"/>
        <v>Jul</v>
      </c>
      <c r="D975" t="s">
        <v>1522</v>
      </c>
      <c r="E975" t="s">
        <v>1526</v>
      </c>
      <c r="F975" t="s">
        <v>1528</v>
      </c>
      <c r="G975" t="s">
        <v>1539</v>
      </c>
      <c r="H975" t="s">
        <v>4</v>
      </c>
      <c r="I975">
        <v>2026</v>
      </c>
      <c r="J975" t="s">
        <v>1554</v>
      </c>
      <c r="K975" t="s">
        <v>1557</v>
      </c>
      <c r="L975">
        <v>1395690</v>
      </c>
      <c r="M975">
        <v>1223683</v>
      </c>
      <c r="N975">
        <v>172007</v>
      </c>
      <c r="O975">
        <v>25</v>
      </c>
      <c r="P975" t="str">
        <f t="shared" si="31"/>
        <v>young</v>
      </c>
      <c r="Q975" t="s">
        <v>1558</v>
      </c>
      <c r="R975" t="s">
        <v>1562</v>
      </c>
      <c r="S975" t="s">
        <v>1568</v>
      </c>
      <c r="T975">
        <v>1756671</v>
      </c>
      <c r="U975">
        <v>5</v>
      </c>
      <c r="V975" t="s">
        <v>1587</v>
      </c>
      <c r="W975" t="s">
        <v>1594</v>
      </c>
      <c r="X975">
        <v>12.32</v>
      </c>
    </row>
    <row r="976" spans="1:24" x14ac:dyDescent="0.25">
      <c r="A976" t="s">
        <v>996</v>
      </c>
      <c r="B976" s="4">
        <v>45711</v>
      </c>
      <c r="C976" s="4" t="str">
        <f t="shared" si="30"/>
        <v>Feb</v>
      </c>
      <c r="D976" t="s">
        <v>1522</v>
      </c>
      <c r="E976" t="s">
        <v>1523</v>
      </c>
      <c r="F976" t="s">
        <v>1530</v>
      </c>
      <c r="G976" t="s">
        <v>1547</v>
      </c>
      <c r="H976" t="s">
        <v>1551</v>
      </c>
      <c r="I976">
        <v>2026</v>
      </c>
      <c r="J976" t="s">
        <v>1554</v>
      </c>
      <c r="K976" t="s">
        <v>1556</v>
      </c>
      <c r="L976">
        <v>857187</v>
      </c>
      <c r="M976">
        <v>724772</v>
      </c>
      <c r="N976">
        <v>132415</v>
      </c>
      <c r="O976">
        <v>51</v>
      </c>
      <c r="P976" t="str">
        <f t="shared" si="31"/>
        <v>senior</v>
      </c>
      <c r="Q976" t="s">
        <v>1558</v>
      </c>
      <c r="R976" t="s">
        <v>1562</v>
      </c>
      <c r="S976" t="s">
        <v>1567</v>
      </c>
      <c r="T976">
        <v>1256645</v>
      </c>
      <c r="U976">
        <v>2</v>
      </c>
      <c r="V976" t="s">
        <v>1578</v>
      </c>
      <c r="W976" t="s">
        <v>1591</v>
      </c>
      <c r="X976">
        <v>15.45</v>
      </c>
    </row>
    <row r="977" spans="1:24" x14ac:dyDescent="0.25">
      <c r="A977" t="s">
        <v>997</v>
      </c>
      <c r="B977" s="4">
        <v>45732</v>
      </c>
      <c r="C977" s="4" t="str">
        <f t="shared" si="30"/>
        <v>Mar</v>
      </c>
      <c r="D977" t="s">
        <v>1522</v>
      </c>
      <c r="E977" t="s">
        <v>1525</v>
      </c>
      <c r="F977" t="s">
        <v>1529</v>
      </c>
      <c r="G977" t="s">
        <v>1543</v>
      </c>
      <c r="H977" t="s">
        <v>4</v>
      </c>
      <c r="I977">
        <v>2025</v>
      </c>
      <c r="J977" t="s">
        <v>1554</v>
      </c>
      <c r="K977" t="s">
        <v>1556</v>
      </c>
      <c r="L977">
        <v>1364360</v>
      </c>
      <c r="M977">
        <v>1181736</v>
      </c>
      <c r="N977">
        <v>182624</v>
      </c>
      <c r="O977">
        <v>60</v>
      </c>
      <c r="P977" t="str">
        <f t="shared" si="31"/>
        <v>senior</v>
      </c>
      <c r="Q977" t="s">
        <v>1558</v>
      </c>
      <c r="R977" t="s">
        <v>1562</v>
      </c>
      <c r="S977" t="s">
        <v>1570</v>
      </c>
      <c r="T977">
        <v>596080</v>
      </c>
      <c r="U977">
        <v>1</v>
      </c>
      <c r="V977" t="s">
        <v>1588</v>
      </c>
      <c r="W977" t="s">
        <v>1591</v>
      </c>
      <c r="X977">
        <v>13.39</v>
      </c>
    </row>
    <row r="978" spans="1:24" x14ac:dyDescent="0.25">
      <c r="A978" t="s">
        <v>998</v>
      </c>
      <c r="B978" s="4">
        <v>46161</v>
      </c>
      <c r="C978" s="4" t="str">
        <f t="shared" si="30"/>
        <v>May</v>
      </c>
      <c r="D978" t="s">
        <v>1522</v>
      </c>
      <c r="E978" t="s">
        <v>1527</v>
      </c>
      <c r="F978" t="s">
        <v>1530</v>
      </c>
      <c r="G978" t="s">
        <v>1544</v>
      </c>
      <c r="H978" t="s">
        <v>1552</v>
      </c>
      <c r="I978">
        <v>2024</v>
      </c>
      <c r="J978" t="s">
        <v>1555</v>
      </c>
      <c r="K978" t="s">
        <v>1556</v>
      </c>
      <c r="L978">
        <v>1938299</v>
      </c>
      <c r="M978">
        <v>1588111</v>
      </c>
      <c r="N978">
        <v>350188</v>
      </c>
      <c r="O978">
        <v>62</v>
      </c>
      <c r="P978" t="str">
        <f t="shared" si="31"/>
        <v>senior</v>
      </c>
      <c r="Q978" t="s">
        <v>1558</v>
      </c>
      <c r="R978" t="s">
        <v>1562</v>
      </c>
      <c r="S978" t="s">
        <v>1569</v>
      </c>
      <c r="T978">
        <v>2063845</v>
      </c>
      <c r="U978">
        <v>3</v>
      </c>
      <c r="V978" t="s">
        <v>1590</v>
      </c>
      <c r="W978" t="s">
        <v>1592</v>
      </c>
      <c r="X978">
        <v>18.07</v>
      </c>
    </row>
    <row r="979" spans="1:24" x14ac:dyDescent="0.25">
      <c r="A979" t="s">
        <v>999</v>
      </c>
      <c r="B979" s="4">
        <v>46096</v>
      </c>
      <c r="C979" s="4" t="str">
        <f t="shared" si="30"/>
        <v>Mar</v>
      </c>
      <c r="D979" t="s">
        <v>1522</v>
      </c>
      <c r="E979" t="s">
        <v>1524</v>
      </c>
      <c r="F979" t="s">
        <v>1531</v>
      </c>
      <c r="G979" t="s">
        <v>1543</v>
      </c>
      <c r="H979" t="s">
        <v>4</v>
      </c>
      <c r="I979">
        <v>2025</v>
      </c>
      <c r="J979" t="s">
        <v>1554</v>
      </c>
      <c r="K979" t="s">
        <v>1557</v>
      </c>
      <c r="L979">
        <v>1819938</v>
      </c>
      <c r="M979">
        <v>1680646</v>
      </c>
      <c r="N979">
        <v>139292</v>
      </c>
      <c r="O979">
        <v>26</v>
      </c>
      <c r="P979" t="str">
        <f t="shared" si="31"/>
        <v>young</v>
      </c>
      <c r="Q979" t="s">
        <v>1558</v>
      </c>
      <c r="R979" t="s">
        <v>1565</v>
      </c>
      <c r="S979" t="s">
        <v>1567</v>
      </c>
      <c r="T979">
        <v>2187982</v>
      </c>
      <c r="U979">
        <v>1</v>
      </c>
      <c r="V979" t="s">
        <v>1586</v>
      </c>
      <c r="W979" t="s">
        <v>1591</v>
      </c>
      <c r="X979">
        <v>7.65</v>
      </c>
    </row>
    <row r="980" spans="1:24" x14ac:dyDescent="0.25">
      <c r="A980" t="s">
        <v>1000</v>
      </c>
      <c r="B980" s="4">
        <v>45812</v>
      </c>
      <c r="C980" s="4" t="str">
        <f t="shared" si="30"/>
        <v>Jun</v>
      </c>
      <c r="D980" t="s">
        <v>1522</v>
      </c>
      <c r="E980" t="s">
        <v>1526</v>
      </c>
      <c r="F980" t="s">
        <v>1535</v>
      </c>
      <c r="G980" t="s">
        <v>1539</v>
      </c>
      <c r="H980" t="s">
        <v>4</v>
      </c>
      <c r="I980">
        <v>2025</v>
      </c>
      <c r="J980" t="s">
        <v>1554</v>
      </c>
      <c r="K980" t="s">
        <v>1557</v>
      </c>
      <c r="L980">
        <v>1373933</v>
      </c>
      <c r="M980">
        <v>1146213</v>
      </c>
      <c r="N980">
        <v>227720</v>
      </c>
      <c r="O980">
        <v>51</v>
      </c>
      <c r="P980" t="str">
        <f t="shared" si="31"/>
        <v>senior</v>
      </c>
      <c r="Q980" t="s">
        <v>1558</v>
      </c>
      <c r="R980" t="s">
        <v>1561</v>
      </c>
      <c r="S980" t="s">
        <v>1567</v>
      </c>
      <c r="T980">
        <v>1391690</v>
      </c>
      <c r="U980">
        <v>1</v>
      </c>
      <c r="V980" t="s">
        <v>1584</v>
      </c>
      <c r="W980" t="s">
        <v>1592</v>
      </c>
      <c r="X980">
        <v>16.57</v>
      </c>
    </row>
    <row r="981" spans="1:24" x14ac:dyDescent="0.25">
      <c r="A981" t="s">
        <v>1001</v>
      </c>
      <c r="B981" s="4">
        <v>46191</v>
      </c>
      <c r="C981" s="4" t="str">
        <f t="shared" si="30"/>
        <v>Jun</v>
      </c>
      <c r="D981" t="s">
        <v>1522</v>
      </c>
      <c r="E981" t="s">
        <v>1527</v>
      </c>
      <c r="F981" t="s">
        <v>1532</v>
      </c>
      <c r="G981" t="s">
        <v>1538</v>
      </c>
      <c r="H981" t="s">
        <v>1550</v>
      </c>
      <c r="I981">
        <v>2024</v>
      </c>
      <c r="J981" t="s">
        <v>1554</v>
      </c>
      <c r="K981" t="s">
        <v>1556</v>
      </c>
      <c r="L981">
        <v>1265403</v>
      </c>
      <c r="M981">
        <v>1178898</v>
      </c>
      <c r="N981">
        <v>86505</v>
      </c>
      <c r="O981">
        <v>36</v>
      </c>
      <c r="P981" t="str">
        <f t="shared" si="31"/>
        <v>adult</v>
      </c>
      <c r="Q981" t="s">
        <v>1558</v>
      </c>
      <c r="R981" t="s">
        <v>1563</v>
      </c>
      <c r="S981" t="s">
        <v>1568</v>
      </c>
      <c r="T981">
        <v>1060207</v>
      </c>
      <c r="U981">
        <v>5</v>
      </c>
      <c r="V981" t="s">
        <v>1582</v>
      </c>
      <c r="W981" t="s">
        <v>1592</v>
      </c>
      <c r="X981">
        <v>6.84</v>
      </c>
    </row>
    <row r="982" spans="1:24" x14ac:dyDescent="0.25">
      <c r="A982" t="s">
        <v>1002</v>
      </c>
      <c r="B982" s="4">
        <v>45668</v>
      </c>
      <c r="C982" s="4" t="str">
        <f t="shared" si="30"/>
        <v>Jan</v>
      </c>
      <c r="D982" t="s">
        <v>1522</v>
      </c>
      <c r="E982" t="s">
        <v>1526</v>
      </c>
      <c r="F982" t="s">
        <v>1532</v>
      </c>
      <c r="G982" t="s">
        <v>1538</v>
      </c>
      <c r="H982" t="s">
        <v>1552</v>
      </c>
      <c r="I982">
        <v>2025</v>
      </c>
      <c r="J982" t="s">
        <v>1555</v>
      </c>
      <c r="K982" t="s">
        <v>1556</v>
      </c>
      <c r="L982">
        <v>2015637</v>
      </c>
      <c r="M982">
        <v>1751885</v>
      </c>
      <c r="N982">
        <v>263752</v>
      </c>
      <c r="O982">
        <v>60</v>
      </c>
      <c r="P982" t="str">
        <f t="shared" si="31"/>
        <v>senior</v>
      </c>
      <c r="Q982" t="s">
        <v>1558</v>
      </c>
      <c r="R982" t="s">
        <v>1563</v>
      </c>
      <c r="S982" t="s">
        <v>1570</v>
      </c>
      <c r="T982">
        <v>708359</v>
      </c>
      <c r="U982">
        <v>5</v>
      </c>
      <c r="V982" t="s">
        <v>1571</v>
      </c>
      <c r="W982" t="s">
        <v>1591</v>
      </c>
      <c r="X982">
        <v>13.09</v>
      </c>
    </row>
    <row r="983" spans="1:24" x14ac:dyDescent="0.25">
      <c r="A983" t="s">
        <v>1003</v>
      </c>
      <c r="B983" s="4">
        <v>45764</v>
      </c>
      <c r="C983" s="4" t="str">
        <f t="shared" si="30"/>
        <v>Apr</v>
      </c>
      <c r="D983" t="s">
        <v>1522</v>
      </c>
      <c r="E983" t="s">
        <v>1525</v>
      </c>
      <c r="F983" t="s">
        <v>1534</v>
      </c>
      <c r="G983" t="s">
        <v>1539</v>
      </c>
      <c r="H983" t="s">
        <v>1550</v>
      </c>
      <c r="I983">
        <v>2023</v>
      </c>
      <c r="J983" t="s">
        <v>1554</v>
      </c>
      <c r="K983" t="s">
        <v>1557</v>
      </c>
      <c r="L983">
        <v>1234855</v>
      </c>
      <c r="M983">
        <v>1087261</v>
      </c>
      <c r="N983">
        <v>147594</v>
      </c>
      <c r="O983">
        <v>23</v>
      </c>
      <c r="P983" t="str">
        <f t="shared" si="31"/>
        <v>young</v>
      </c>
      <c r="Q983" t="s">
        <v>1558</v>
      </c>
      <c r="R983" t="s">
        <v>1561</v>
      </c>
      <c r="S983" t="s">
        <v>1569</v>
      </c>
      <c r="T983">
        <v>763083</v>
      </c>
      <c r="U983">
        <v>2</v>
      </c>
      <c r="V983" t="s">
        <v>1573</v>
      </c>
      <c r="W983" t="s">
        <v>1592</v>
      </c>
      <c r="X983">
        <v>11.95</v>
      </c>
    </row>
    <row r="984" spans="1:24" x14ac:dyDescent="0.25">
      <c r="A984" t="s">
        <v>1004</v>
      </c>
      <c r="B984" s="4">
        <v>46215</v>
      </c>
      <c r="C984" s="4" t="str">
        <f t="shared" si="30"/>
        <v>Jul</v>
      </c>
      <c r="D984" t="s">
        <v>1522</v>
      </c>
      <c r="E984" t="s">
        <v>1527</v>
      </c>
      <c r="F984" t="s">
        <v>1530</v>
      </c>
      <c r="G984" t="s">
        <v>1547</v>
      </c>
      <c r="H984" t="s">
        <v>1551</v>
      </c>
      <c r="I984">
        <v>2024</v>
      </c>
      <c r="J984" t="s">
        <v>1554</v>
      </c>
      <c r="K984" t="s">
        <v>1557</v>
      </c>
      <c r="L984">
        <v>770577</v>
      </c>
      <c r="M984">
        <v>745986</v>
      </c>
      <c r="N984">
        <v>24591</v>
      </c>
      <c r="O984">
        <v>61</v>
      </c>
      <c r="P984" t="str">
        <f t="shared" si="31"/>
        <v>senior</v>
      </c>
      <c r="Q984" t="s">
        <v>1558</v>
      </c>
      <c r="R984" t="s">
        <v>1565</v>
      </c>
      <c r="S984" t="s">
        <v>1568</v>
      </c>
      <c r="T984">
        <v>1808367</v>
      </c>
      <c r="U984">
        <v>2</v>
      </c>
      <c r="V984" t="s">
        <v>1587</v>
      </c>
      <c r="W984" t="s">
        <v>1594</v>
      </c>
      <c r="X984">
        <v>3.19</v>
      </c>
    </row>
    <row r="985" spans="1:24" x14ac:dyDescent="0.25">
      <c r="A985" t="s">
        <v>1005</v>
      </c>
      <c r="B985" s="4">
        <v>46057</v>
      </c>
      <c r="C985" s="4" t="str">
        <f t="shared" si="30"/>
        <v>Feb</v>
      </c>
      <c r="D985" t="s">
        <v>1522</v>
      </c>
      <c r="E985" t="s">
        <v>1523</v>
      </c>
      <c r="F985" t="s">
        <v>1536</v>
      </c>
      <c r="G985" t="s">
        <v>1549</v>
      </c>
      <c r="H985" t="s">
        <v>4</v>
      </c>
      <c r="I985">
        <v>2024</v>
      </c>
      <c r="J985" t="s">
        <v>1554</v>
      </c>
      <c r="K985" t="s">
        <v>1556</v>
      </c>
      <c r="L985">
        <v>1267887</v>
      </c>
      <c r="M985">
        <v>1176433</v>
      </c>
      <c r="N985">
        <v>91454</v>
      </c>
      <c r="O985">
        <v>59</v>
      </c>
      <c r="P985" t="str">
        <f t="shared" si="31"/>
        <v>senior</v>
      </c>
      <c r="Q985" t="s">
        <v>1559</v>
      </c>
      <c r="R985" t="s">
        <v>1561</v>
      </c>
      <c r="S985" t="s">
        <v>1568</v>
      </c>
      <c r="T985">
        <v>2070681</v>
      </c>
      <c r="U985">
        <v>1</v>
      </c>
      <c r="V985" t="s">
        <v>1589</v>
      </c>
      <c r="W985" t="s">
        <v>1591</v>
      </c>
      <c r="X985">
        <v>7.21</v>
      </c>
    </row>
    <row r="986" spans="1:24" x14ac:dyDescent="0.25">
      <c r="A986" t="s">
        <v>1006</v>
      </c>
      <c r="B986" s="4">
        <v>45778</v>
      </c>
      <c r="C986" s="4" t="str">
        <f t="shared" si="30"/>
        <v>May</v>
      </c>
      <c r="D986" t="s">
        <v>1522</v>
      </c>
      <c r="E986" t="s">
        <v>1526</v>
      </c>
      <c r="F986" t="s">
        <v>1531</v>
      </c>
      <c r="G986" t="s">
        <v>1546</v>
      </c>
      <c r="H986" t="s">
        <v>4</v>
      </c>
      <c r="I986">
        <v>2024</v>
      </c>
      <c r="J986" t="s">
        <v>1554</v>
      </c>
      <c r="K986" t="s">
        <v>1556</v>
      </c>
      <c r="L986">
        <v>1628229</v>
      </c>
      <c r="M986">
        <v>1394263</v>
      </c>
      <c r="N986">
        <v>233966</v>
      </c>
      <c r="O986">
        <v>63</v>
      </c>
      <c r="P986" t="str">
        <f t="shared" si="31"/>
        <v>senior</v>
      </c>
      <c r="Q986" t="s">
        <v>1558</v>
      </c>
      <c r="R986" t="s">
        <v>1561</v>
      </c>
      <c r="S986" t="s">
        <v>1567</v>
      </c>
      <c r="T986">
        <v>822717</v>
      </c>
      <c r="U986">
        <v>5</v>
      </c>
      <c r="V986" t="s">
        <v>1572</v>
      </c>
      <c r="W986" t="s">
        <v>1592</v>
      </c>
      <c r="X986">
        <v>14.37</v>
      </c>
    </row>
    <row r="987" spans="1:24" x14ac:dyDescent="0.25">
      <c r="A987" t="s">
        <v>1007</v>
      </c>
      <c r="B987" s="4">
        <v>45993</v>
      </c>
      <c r="C987" s="4" t="str">
        <f t="shared" si="30"/>
        <v>Dec</v>
      </c>
      <c r="D987" t="s">
        <v>1522</v>
      </c>
      <c r="E987" t="s">
        <v>1524</v>
      </c>
      <c r="F987" t="s">
        <v>1529</v>
      </c>
      <c r="G987" t="s">
        <v>1539</v>
      </c>
      <c r="H987" t="s">
        <v>1550</v>
      </c>
      <c r="I987">
        <v>2023</v>
      </c>
      <c r="J987" t="s">
        <v>1554</v>
      </c>
      <c r="K987" t="s">
        <v>1557</v>
      </c>
      <c r="L987">
        <v>1147631</v>
      </c>
      <c r="M987">
        <v>1015012</v>
      </c>
      <c r="N987">
        <v>132619</v>
      </c>
      <c r="O987">
        <v>64</v>
      </c>
      <c r="P987" t="str">
        <f t="shared" si="31"/>
        <v>senior</v>
      </c>
      <c r="Q987" t="s">
        <v>1558</v>
      </c>
      <c r="R987" t="s">
        <v>1563</v>
      </c>
      <c r="S987" t="s">
        <v>1567</v>
      </c>
      <c r="T987">
        <v>1799243</v>
      </c>
      <c r="U987">
        <v>3</v>
      </c>
      <c r="V987" t="s">
        <v>1575</v>
      </c>
      <c r="W987" t="s">
        <v>1593</v>
      </c>
      <c r="X987">
        <v>11.56</v>
      </c>
    </row>
    <row r="988" spans="1:24" x14ac:dyDescent="0.25">
      <c r="A988" t="s">
        <v>1008</v>
      </c>
      <c r="B988" s="4">
        <v>45847</v>
      </c>
      <c r="C988" s="4" t="str">
        <f t="shared" si="30"/>
        <v>Jul</v>
      </c>
      <c r="D988" t="s">
        <v>1522</v>
      </c>
      <c r="E988" t="s">
        <v>1525</v>
      </c>
      <c r="F988" t="s">
        <v>1529</v>
      </c>
      <c r="G988" t="s">
        <v>1542</v>
      </c>
      <c r="H988" t="s">
        <v>4</v>
      </c>
      <c r="I988">
        <v>2023</v>
      </c>
      <c r="J988" t="s">
        <v>1554</v>
      </c>
      <c r="K988" t="s">
        <v>1556</v>
      </c>
      <c r="L988">
        <v>1544563</v>
      </c>
      <c r="M988">
        <v>1431104</v>
      </c>
      <c r="N988">
        <v>113459</v>
      </c>
      <c r="O988">
        <v>42</v>
      </c>
      <c r="P988" t="str">
        <f t="shared" si="31"/>
        <v>adult</v>
      </c>
      <c r="Q988" t="s">
        <v>1558</v>
      </c>
      <c r="R988" t="s">
        <v>1565</v>
      </c>
      <c r="S988" t="s">
        <v>1567</v>
      </c>
      <c r="T988">
        <v>772199</v>
      </c>
      <c r="U988">
        <v>1</v>
      </c>
      <c r="V988" t="s">
        <v>1579</v>
      </c>
      <c r="W988" t="s">
        <v>1594</v>
      </c>
      <c r="X988">
        <v>7.35</v>
      </c>
    </row>
    <row r="989" spans="1:24" x14ac:dyDescent="0.25">
      <c r="A989" t="s">
        <v>1009</v>
      </c>
      <c r="B989" s="4">
        <v>45737</v>
      </c>
      <c r="C989" s="4" t="str">
        <f t="shared" si="30"/>
        <v>Mar</v>
      </c>
      <c r="D989" t="s">
        <v>1522</v>
      </c>
      <c r="E989" t="s">
        <v>1527</v>
      </c>
      <c r="F989" t="s">
        <v>1531</v>
      </c>
      <c r="G989" t="s">
        <v>1540</v>
      </c>
      <c r="H989" t="s">
        <v>1552</v>
      </c>
      <c r="I989">
        <v>2023</v>
      </c>
      <c r="J989" t="s">
        <v>1555</v>
      </c>
      <c r="K989" t="s">
        <v>1556</v>
      </c>
      <c r="L989">
        <v>1918287</v>
      </c>
      <c r="M989">
        <v>1669306</v>
      </c>
      <c r="N989">
        <v>248981</v>
      </c>
      <c r="O989">
        <v>34</v>
      </c>
      <c r="P989" t="str">
        <f t="shared" si="31"/>
        <v>adult</v>
      </c>
      <c r="Q989" t="s">
        <v>1558</v>
      </c>
      <c r="R989" t="s">
        <v>1561</v>
      </c>
      <c r="S989" t="s">
        <v>1567</v>
      </c>
      <c r="T989">
        <v>294397</v>
      </c>
      <c r="U989">
        <v>1</v>
      </c>
      <c r="V989" t="s">
        <v>1588</v>
      </c>
      <c r="W989" t="s">
        <v>1591</v>
      </c>
      <c r="X989">
        <v>12.98</v>
      </c>
    </row>
    <row r="990" spans="1:24" x14ac:dyDescent="0.25">
      <c r="A990" t="s">
        <v>1010</v>
      </c>
      <c r="B990" s="4">
        <v>45723</v>
      </c>
      <c r="C990" s="4" t="str">
        <f t="shared" si="30"/>
        <v>Mar</v>
      </c>
      <c r="D990" t="s">
        <v>1522</v>
      </c>
      <c r="E990" t="s">
        <v>1523</v>
      </c>
      <c r="F990" t="s">
        <v>1531</v>
      </c>
      <c r="G990" t="s">
        <v>1542</v>
      </c>
      <c r="H990" t="s">
        <v>1552</v>
      </c>
      <c r="I990">
        <v>2022</v>
      </c>
      <c r="J990" t="s">
        <v>1555</v>
      </c>
      <c r="K990" t="s">
        <v>1556</v>
      </c>
      <c r="L990">
        <v>1948886</v>
      </c>
      <c r="M990">
        <v>1751479</v>
      </c>
      <c r="N990">
        <v>197407</v>
      </c>
      <c r="O990">
        <v>50</v>
      </c>
      <c r="P990" t="str">
        <f t="shared" si="31"/>
        <v>adult</v>
      </c>
      <c r="Q990" t="s">
        <v>1558</v>
      </c>
      <c r="R990" t="s">
        <v>1561</v>
      </c>
      <c r="S990" t="s">
        <v>1567</v>
      </c>
      <c r="T990">
        <v>653286</v>
      </c>
      <c r="U990">
        <v>3</v>
      </c>
      <c r="V990" t="s">
        <v>1588</v>
      </c>
      <c r="W990" t="s">
        <v>1591</v>
      </c>
      <c r="X990">
        <v>10.130000000000001</v>
      </c>
    </row>
    <row r="991" spans="1:24" x14ac:dyDescent="0.25">
      <c r="A991" t="s">
        <v>1011</v>
      </c>
      <c r="B991" s="4">
        <v>45861</v>
      </c>
      <c r="C991" s="4" t="str">
        <f t="shared" si="30"/>
        <v>Jul</v>
      </c>
      <c r="D991" t="s">
        <v>1522</v>
      </c>
      <c r="E991" t="s">
        <v>1523</v>
      </c>
      <c r="F991" t="s">
        <v>1534</v>
      </c>
      <c r="G991" t="s">
        <v>1538</v>
      </c>
      <c r="H991" t="s">
        <v>1550</v>
      </c>
      <c r="I991">
        <v>2023</v>
      </c>
      <c r="J991" t="s">
        <v>1554</v>
      </c>
      <c r="K991" t="s">
        <v>1556</v>
      </c>
      <c r="L991">
        <v>1128921</v>
      </c>
      <c r="M991">
        <v>940557</v>
      </c>
      <c r="N991">
        <v>188364</v>
      </c>
      <c r="O991">
        <v>38</v>
      </c>
      <c r="P991" t="str">
        <f t="shared" si="31"/>
        <v>adult</v>
      </c>
      <c r="Q991" t="s">
        <v>1559</v>
      </c>
      <c r="R991" t="s">
        <v>1566</v>
      </c>
      <c r="S991" t="s">
        <v>1567</v>
      </c>
      <c r="T991">
        <v>15876</v>
      </c>
      <c r="U991">
        <v>3</v>
      </c>
      <c r="V991" t="s">
        <v>1579</v>
      </c>
      <c r="W991" t="s">
        <v>1594</v>
      </c>
      <c r="X991">
        <v>16.690000000000001</v>
      </c>
    </row>
    <row r="992" spans="1:24" x14ac:dyDescent="0.25">
      <c r="A992" t="s">
        <v>1012</v>
      </c>
      <c r="B992" s="4">
        <v>45689</v>
      </c>
      <c r="C992" s="4" t="str">
        <f t="shared" si="30"/>
        <v>Feb</v>
      </c>
      <c r="D992" t="s">
        <v>1522</v>
      </c>
      <c r="E992" t="s">
        <v>1525</v>
      </c>
      <c r="F992" t="s">
        <v>1529</v>
      </c>
      <c r="G992" t="s">
        <v>1546</v>
      </c>
      <c r="H992" t="s">
        <v>4</v>
      </c>
      <c r="I992">
        <v>2026</v>
      </c>
      <c r="J992" t="s">
        <v>1554</v>
      </c>
      <c r="K992" t="s">
        <v>1557</v>
      </c>
      <c r="L992">
        <v>1463540</v>
      </c>
      <c r="M992">
        <v>1353819</v>
      </c>
      <c r="N992">
        <v>109721</v>
      </c>
      <c r="O992">
        <v>56</v>
      </c>
      <c r="P992" t="str">
        <f t="shared" si="31"/>
        <v>senior</v>
      </c>
      <c r="Q992" t="s">
        <v>1558</v>
      </c>
      <c r="R992" t="s">
        <v>1561</v>
      </c>
      <c r="S992" t="s">
        <v>1568</v>
      </c>
      <c r="T992">
        <v>936828</v>
      </c>
      <c r="U992">
        <v>1</v>
      </c>
      <c r="V992" t="s">
        <v>1578</v>
      </c>
      <c r="W992" t="s">
        <v>1591</v>
      </c>
      <c r="X992">
        <v>7.5</v>
      </c>
    </row>
    <row r="993" spans="1:24" x14ac:dyDescent="0.25">
      <c r="A993" t="s">
        <v>1013</v>
      </c>
      <c r="B993" s="4">
        <v>46238</v>
      </c>
      <c r="C993" s="4" t="str">
        <f t="shared" si="30"/>
        <v>Aug</v>
      </c>
      <c r="D993" t="s">
        <v>1522</v>
      </c>
      <c r="E993" t="s">
        <v>1523</v>
      </c>
      <c r="F993" t="s">
        <v>1535</v>
      </c>
      <c r="G993" t="s">
        <v>1544</v>
      </c>
      <c r="H993" t="s">
        <v>1552</v>
      </c>
      <c r="I993">
        <v>2023</v>
      </c>
      <c r="J993" t="s">
        <v>1555</v>
      </c>
      <c r="K993" t="s">
        <v>1556</v>
      </c>
      <c r="L993">
        <v>2023328</v>
      </c>
      <c r="M993">
        <v>1745402</v>
      </c>
      <c r="N993">
        <v>277926</v>
      </c>
      <c r="O993">
        <v>32</v>
      </c>
      <c r="P993" t="str">
        <f t="shared" si="31"/>
        <v>adult</v>
      </c>
      <c r="Q993" t="s">
        <v>1558</v>
      </c>
      <c r="R993" t="s">
        <v>1566</v>
      </c>
      <c r="S993" t="s">
        <v>1570</v>
      </c>
      <c r="T993">
        <v>1219724</v>
      </c>
      <c r="U993">
        <v>3</v>
      </c>
      <c r="V993" t="s">
        <v>1576</v>
      </c>
      <c r="W993" t="s">
        <v>1594</v>
      </c>
      <c r="X993">
        <v>13.74</v>
      </c>
    </row>
    <row r="994" spans="1:24" x14ac:dyDescent="0.25">
      <c r="A994" t="s">
        <v>1014</v>
      </c>
      <c r="B994" s="4">
        <v>45883</v>
      </c>
      <c r="C994" s="4" t="str">
        <f t="shared" si="30"/>
        <v>Aug</v>
      </c>
      <c r="D994" t="s">
        <v>1522</v>
      </c>
      <c r="E994" t="s">
        <v>1526</v>
      </c>
      <c r="F994" t="s">
        <v>1530</v>
      </c>
      <c r="G994" t="s">
        <v>1539</v>
      </c>
      <c r="H994" t="s">
        <v>1550</v>
      </c>
      <c r="I994">
        <v>2024</v>
      </c>
      <c r="J994" t="s">
        <v>1554</v>
      </c>
      <c r="K994" t="s">
        <v>1557</v>
      </c>
      <c r="L994">
        <v>1695275</v>
      </c>
      <c r="M994">
        <v>1552106</v>
      </c>
      <c r="N994">
        <v>143169</v>
      </c>
      <c r="O994">
        <v>34</v>
      </c>
      <c r="P994" t="str">
        <f t="shared" si="31"/>
        <v>adult</v>
      </c>
      <c r="Q994" t="s">
        <v>1558</v>
      </c>
      <c r="R994" t="s">
        <v>1566</v>
      </c>
      <c r="S994" t="s">
        <v>1568</v>
      </c>
      <c r="T994">
        <v>265850</v>
      </c>
      <c r="U994">
        <v>3</v>
      </c>
      <c r="V994" t="s">
        <v>1585</v>
      </c>
      <c r="W994" t="s">
        <v>1594</v>
      </c>
      <c r="X994">
        <v>8.4499999999999993</v>
      </c>
    </row>
    <row r="995" spans="1:24" x14ac:dyDescent="0.25">
      <c r="A995" t="s">
        <v>1015</v>
      </c>
      <c r="B995" s="4">
        <v>45945</v>
      </c>
      <c r="C995" s="4" t="str">
        <f t="shared" si="30"/>
        <v>Oct</v>
      </c>
      <c r="D995" t="s">
        <v>1522</v>
      </c>
      <c r="E995" t="s">
        <v>1526</v>
      </c>
      <c r="F995" t="s">
        <v>1533</v>
      </c>
      <c r="G995" t="s">
        <v>1541</v>
      </c>
      <c r="H995" t="s">
        <v>1550</v>
      </c>
      <c r="I995">
        <v>2026</v>
      </c>
      <c r="J995" t="s">
        <v>1554</v>
      </c>
      <c r="K995" t="s">
        <v>1556</v>
      </c>
      <c r="L995">
        <v>1159860</v>
      </c>
      <c r="M995">
        <v>984950</v>
      </c>
      <c r="N995">
        <v>174910</v>
      </c>
      <c r="O995">
        <v>48</v>
      </c>
      <c r="P995" t="str">
        <f t="shared" si="31"/>
        <v>adult</v>
      </c>
      <c r="Q995" t="s">
        <v>1558</v>
      </c>
      <c r="R995" t="s">
        <v>1565</v>
      </c>
      <c r="S995" t="s">
        <v>1567</v>
      </c>
      <c r="T995">
        <v>1035474</v>
      </c>
      <c r="U995">
        <v>2</v>
      </c>
      <c r="V995" t="s">
        <v>1574</v>
      </c>
      <c r="W995" t="s">
        <v>1593</v>
      </c>
      <c r="X995">
        <v>15.08</v>
      </c>
    </row>
    <row r="996" spans="1:24" x14ac:dyDescent="0.25">
      <c r="A996" t="s">
        <v>1016</v>
      </c>
      <c r="B996" s="4">
        <v>46105</v>
      </c>
      <c r="C996" s="4" t="str">
        <f t="shared" si="30"/>
        <v>Mar</v>
      </c>
      <c r="D996" t="s">
        <v>1522</v>
      </c>
      <c r="E996" t="s">
        <v>1527</v>
      </c>
      <c r="F996" t="s">
        <v>1531</v>
      </c>
      <c r="G996" t="s">
        <v>1541</v>
      </c>
      <c r="H996" t="s">
        <v>4</v>
      </c>
      <c r="I996">
        <v>2024</v>
      </c>
      <c r="J996" t="s">
        <v>1554</v>
      </c>
      <c r="K996" t="s">
        <v>1557</v>
      </c>
      <c r="L996">
        <v>1682298</v>
      </c>
      <c r="M996">
        <v>1373284</v>
      </c>
      <c r="N996">
        <v>309014</v>
      </c>
      <c r="O996">
        <v>48</v>
      </c>
      <c r="P996" t="str">
        <f t="shared" si="31"/>
        <v>adult</v>
      </c>
      <c r="Q996" t="s">
        <v>1558</v>
      </c>
      <c r="R996" t="s">
        <v>1565</v>
      </c>
      <c r="S996" t="s">
        <v>1569</v>
      </c>
      <c r="T996">
        <v>1025969</v>
      </c>
      <c r="U996">
        <v>4</v>
      </c>
      <c r="V996" t="s">
        <v>1586</v>
      </c>
      <c r="W996" t="s">
        <v>1591</v>
      </c>
      <c r="X996">
        <v>18.37</v>
      </c>
    </row>
    <row r="997" spans="1:24" x14ac:dyDescent="0.25">
      <c r="A997" t="s">
        <v>1017</v>
      </c>
      <c r="B997" s="4">
        <v>46226</v>
      </c>
      <c r="C997" s="4" t="str">
        <f t="shared" si="30"/>
        <v>Jul</v>
      </c>
      <c r="D997" t="s">
        <v>1522</v>
      </c>
      <c r="E997" t="s">
        <v>1525</v>
      </c>
      <c r="F997" t="s">
        <v>1529</v>
      </c>
      <c r="G997" t="s">
        <v>1541</v>
      </c>
      <c r="H997" t="s">
        <v>1551</v>
      </c>
      <c r="I997">
        <v>2026</v>
      </c>
      <c r="J997" t="s">
        <v>1554</v>
      </c>
      <c r="K997" t="s">
        <v>1556</v>
      </c>
      <c r="L997">
        <v>978027</v>
      </c>
      <c r="M997">
        <v>803423</v>
      </c>
      <c r="N997">
        <v>174604</v>
      </c>
      <c r="O997">
        <v>22</v>
      </c>
      <c r="P997" t="str">
        <f t="shared" si="31"/>
        <v>young</v>
      </c>
      <c r="Q997" t="s">
        <v>1558</v>
      </c>
      <c r="R997" t="s">
        <v>1563</v>
      </c>
      <c r="S997" t="s">
        <v>1568</v>
      </c>
      <c r="T997">
        <v>25172</v>
      </c>
      <c r="U997">
        <v>2</v>
      </c>
      <c r="V997" t="s">
        <v>1587</v>
      </c>
      <c r="W997" t="s">
        <v>1594</v>
      </c>
      <c r="X997">
        <v>17.850000000000001</v>
      </c>
    </row>
    <row r="998" spans="1:24" x14ac:dyDescent="0.25">
      <c r="A998" t="s">
        <v>1018</v>
      </c>
      <c r="B998" s="4">
        <v>45658</v>
      </c>
      <c r="C998" s="4" t="str">
        <f t="shared" si="30"/>
        <v>Jan</v>
      </c>
      <c r="D998" t="s">
        <v>1522</v>
      </c>
      <c r="E998" t="s">
        <v>1525</v>
      </c>
      <c r="F998" t="s">
        <v>1528</v>
      </c>
      <c r="G998" t="s">
        <v>1540</v>
      </c>
      <c r="H998" t="s">
        <v>1550</v>
      </c>
      <c r="I998">
        <v>2024</v>
      </c>
      <c r="J998" t="s">
        <v>1554</v>
      </c>
      <c r="K998" t="s">
        <v>1556</v>
      </c>
      <c r="L998">
        <v>1594857</v>
      </c>
      <c r="M998">
        <v>1509927</v>
      </c>
      <c r="N998">
        <v>84930</v>
      </c>
      <c r="O998">
        <v>48</v>
      </c>
      <c r="P998" t="str">
        <f t="shared" si="31"/>
        <v>adult</v>
      </c>
      <c r="Q998" t="s">
        <v>1558</v>
      </c>
      <c r="R998" t="s">
        <v>1561</v>
      </c>
      <c r="S998" t="s">
        <v>1567</v>
      </c>
      <c r="T998">
        <v>1757516</v>
      </c>
      <c r="U998">
        <v>1</v>
      </c>
      <c r="V998" t="s">
        <v>1571</v>
      </c>
      <c r="W998" t="s">
        <v>1591</v>
      </c>
      <c r="X998">
        <v>5.33</v>
      </c>
    </row>
    <row r="999" spans="1:24" x14ac:dyDescent="0.25">
      <c r="A999" t="s">
        <v>1019</v>
      </c>
      <c r="B999" s="4">
        <v>46212</v>
      </c>
      <c r="C999" s="4" t="str">
        <f t="shared" si="30"/>
        <v>Jul</v>
      </c>
      <c r="D999" t="s">
        <v>1522</v>
      </c>
      <c r="E999" t="s">
        <v>1523</v>
      </c>
      <c r="F999" t="s">
        <v>1530</v>
      </c>
      <c r="G999" t="s">
        <v>1538</v>
      </c>
      <c r="H999" t="s">
        <v>4</v>
      </c>
      <c r="I999">
        <v>2026</v>
      </c>
      <c r="J999" t="s">
        <v>1554</v>
      </c>
      <c r="K999" t="s">
        <v>1556</v>
      </c>
      <c r="L999">
        <v>1620669</v>
      </c>
      <c r="M999">
        <v>1471886</v>
      </c>
      <c r="N999">
        <v>148783</v>
      </c>
      <c r="O999">
        <v>31</v>
      </c>
      <c r="P999" t="str">
        <f t="shared" si="31"/>
        <v>adult</v>
      </c>
      <c r="Q999" t="s">
        <v>1558</v>
      </c>
      <c r="R999" t="s">
        <v>1561</v>
      </c>
      <c r="S999" t="s">
        <v>1568</v>
      </c>
      <c r="T999">
        <v>24995</v>
      </c>
      <c r="U999">
        <v>2</v>
      </c>
      <c r="V999" t="s">
        <v>1587</v>
      </c>
      <c r="W999" t="s">
        <v>1594</v>
      </c>
      <c r="X999">
        <v>9.18</v>
      </c>
    </row>
    <row r="1000" spans="1:24" x14ac:dyDescent="0.25">
      <c r="A1000" t="s">
        <v>1020</v>
      </c>
      <c r="B1000" s="4">
        <v>45833</v>
      </c>
      <c r="C1000" s="4" t="str">
        <f t="shared" si="30"/>
        <v>Jun</v>
      </c>
      <c r="D1000" t="s">
        <v>1522</v>
      </c>
      <c r="E1000" t="s">
        <v>1526</v>
      </c>
      <c r="F1000" t="s">
        <v>1528</v>
      </c>
      <c r="G1000" t="s">
        <v>1539</v>
      </c>
      <c r="H1000" t="s">
        <v>4</v>
      </c>
      <c r="I1000">
        <v>2024</v>
      </c>
      <c r="J1000" t="s">
        <v>1554</v>
      </c>
      <c r="K1000" t="s">
        <v>1557</v>
      </c>
      <c r="L1000">
        <v>1502671</v>
      </c>
      <c r="M1000">
        <v>1349969</v>
      </c>
      <c r="N1000">
        <v>152702</v>
      </c>
      <c r="O1000">
        <v>27</v>
      </c>
      <c r="P1000" t="str">
        <f t="shared" si="31"/>
        <v>young</v>
      </c>
      <c r="Q1000" t="s">
        <v>1559</v>
      </c>
      <c r="R1000" t="s">
        <v>1561</v>
      </c>
      <c r="S1000" t="s">
        <v>1567</v>
      </c>
      <c r="T1000">
        <v>1780884</v>
      </c>
      <c r="U1000">
        <v>3</v>
      </c>
      <c r="V1000" t="s">
        <v>1584</v>
      </c>
      <c r="W1000" t="s">
        <v>1592</v>
      </c>
      <c r="X1000">
        <v>10.16</v>
      </c>
    </row>
    <row r="1001" spans="1:24" x14ac:dyDescent="0.25">
      <c r="A1001" t="s">
        <v>1021</v>
      </c>
      <c r="B1001" s="4">
        <v>46102</v>
      </c>
      <c r="C1001" s="4" t="str">
        <f t="shared" si="30"/>
        <v>Mar</v>
      </c>
      <c r="D1001" t="s">
        <v>1522</v>
      </c>
      <c r="E1001" t="s">
        <v>1524</v>
      </c>
      <c r="F1001" t="s">
        <v>1531</v>
      </c>
      <c r="G1001" t="s">
        <v>1547</v>
      </c>
      <c r="H1001" t="s">
        <v>1551</v>
      </c>
      <c r="I1001">
        <v>2025</v>
      </c>
      <c r="J1001" t="s">
        <v>1554</v>
      </c>
      <c r="K1001" t="s">
        <v>1556</v>
      </c>
      <c r="L1001">
        <v>848030</v>
      </c>
      <c r="M1001">
        <v>761051</v>
      </c>
      <c r="N1001">
        <v>86979</v>
      </c>
      <c r="O1001">
        <v>41</v>
      </c>
      <c r="P1001" t="str">
        <f t="shared" si="31"/>
        <v>adult</v>
      </c>
      <c r="Q1001" t="s">
        <v>1559</v>
      </c>
      <c r="R1001" t="s">
        <v>1562</v>
      </c>
      <c r="S1001" t="s">
        <v>1570</v>
      </c>
      <c r="T1001">
        <v>522180</v>
      </c>
      <c r="U1001">
        <v>4</v>
      </c>
      <c r="V1001" t="s">
        <v>1586</v>
      </c>
      <c r="W1001" t="s">
        <v>1591</v>
      </c>
      <c r="X1001">
        <v>10.26</v>
      </c>
    </row>
    <row r="1002" spans="1:24" x14ac:dyDescent="0.25">
      <c r="A1002" t="s">
        <v>1022</v>
      </c>
      <c r="B1002" s="4">
        <v>46073</v>
      </c>
      <c r="C1002" s="4" t="str">
        <f t="shared" si="30"/>
        <v>Feb</v>
      </c>
      <c r="D1002" t="s">
        <v>1522</v>
      </c>
      <c r="E1002" t="s">
        <v>1523</v>
      </c>
      <c r="F1002" t="s">
        <v>1533</v>
      </c>
      <c r="G1002" t="s">
        <v>1543</v>
      </c>
      <c r="H1002" t="s">
        <v>1550</v>
      </c>
      <c r="I1002">
        <v>2024</v>
      </c>
      <c r="J1002" t="s">
        <v>1554</v>
      </c>
      <c r="K1002" t="s">
        <v>1556</v>
      </c>
      <c r="L1002">
        <v>1356506</v>
      </c>
      <c r="M1002">
        <v>1257456</v>
      </c>
      <c r="N1002">
        <v>99050</v>
      </c>
      <c r="O1002">
        <v>51</v>
      </c>
      <c r="P1002" t="str">
        <f t="shared" si="31"/>
        <v>senior</v>
      </c>
      <c r="Q1002" t="s">
        <v>1558</v>
      </c>
      <c r="R1002" t="s">
        <v>1564</v>
      </c>
      <c r="S1002" t="s">
        <v>1567</v>
      </c>
      <c r="T1002">
        <v>2170429</v>
      </c>
      <c r="U1002">
        <v>5</v>
      </c>
      <c r="V1002" t="s">
        <v>1589</v>
      </c>
      <c r="W1002" t="s">
        <v>1591</v>
      </c>
      <c r="X1002">
        <v>7.3</v>
      </c>
    </row>
    <row r="1003" spans="1:24" x14ac:dyDescent="0.25">
      <c r="A1003" t="s">
        <v>1023</v>
      </c>
      <c r="B1003" s="4">
        <v>45813</v>
      </c>
      <c r="C1003" s="4" t="str">
        <f t="shared" si="30"/>
        <v>Jun</v>
      </c>
      <c r="D1003" t="s">
        <v>1522</v>
      </c>
      <c r="E1003" t="s">
        <v>1525</v>
      </c>
      <c r="F1003" t="s">
        <v>1535</v>
      </c>
      <c r="G1003" t="s">
        <v>1540</v>
      </c>
      <c r="H1003" t="s">
        <v>4</v>
      </c>
      <c r="I1003">
        <v>2023</v>
      </c>
      <c r="J1003" t="s">
        <v>1554</v>
      </c>
      <c r="K1003" t="s">
        <v>1556</v>
      </c>
      <c r="L1003">
        <v>1778058</v>
      </c>
      <c r="M1003">
        <v>1583614</v>
      </c>
      <c r="N1003">
        <v>194444</v>
      </c>
      <c r="O1003">
        <v>50</v>
      </c>
      <c r="P1003" t="str">
        <f t="shared" si="31"/>
        <v>adult</v>
      </c>
      <c r="Q1003" t="s">
        <v>1558</v>
      </c>
      <c r="R1003" t="s">
        <v>1562</v>
      </c>
      <c r="S1003" t="s">
        <v>1567</v>
      </c>
      <c r="T1003">
        <v>1780731</v>
      </c>
      <c r="U1003">
        <v>3</v>
      </c>
      <c r="V1003" t="s">
        <v>1584</v>
      </c>
      <c r="W1003" t="s">
        <v>1592</v>
      </c>
      <c r="X1003">
        <v>10.94</v>
      </c>
    </row>
    <row r="1004" spans="1:24" x14ac:dyDescent="0.25">
      <c r="A1004" t="s">
        <v>1024</v>
      </c>
      <c r="B1004" s="4">
        <v>45969</v>
      </c>
      <c r="C1004" s="4" t="str">
        <f t="shared" si="30"/>
        <v>Nov</v>
      </c>
      <c r="D1004" t="s">
        <v>1522</v>
      </c>
      <c r="E1004" t="s">
        <v>1523</v>
      </c>
      <c r="F1004" t="s">
        <v>1530</v>
      </c>
      <c r="G1004" t="s">
        <v>1548</v>
      </c>
      <c r="H1004" t="s">
        <v>1550</v>
      </c>
      <c r="I1004">
        <v>2023</v>
      </c>
      <c r="J1004" t="s">
        <v>1554</v>
      </c>
      <c r="K1004" t="s">
        <v>1557</v>
      </c>
      <c r="L1004">
        <v>1302818</v>
      </c>
      <c r="M1004">
        <v>1145705</v>
      </c>
      <c r="N1004">
        <v>157113</v>
      </c>
      <c r="O1004">
        <v>53</v>
      </c>
      <c r="P1004" t="str">
        <f t="shared" si="31"/>
        <v>senior</v>
      </c>
      <c r="Q1004" t="s">
        <v>1559</v>
      </c>
      <c r="R1004" t="s">
        <v>1562</v>
      </c>
      <c r="S1004" t="s">
        <v>1567</v>
      </c>
      <c r="T1004">
        <v>426039</v>
      </c>
      <c r="U1004">
        <v>5</v>
      </c>
      <c r="V1004" t="s">
        <v>1583</v>
      </c>
      <c r="W1004" t="s">
        <v>1593</v>
      </c>
      <c r="X1004">
        <v>12.06</v>
      </c>
    </row>
    <row r="1005" spans="1:24" x14ac:dyDescent="0.25">
      <c r="A1005" t="s">
        <v>1025</v>
      </c>
      <c r="B1005" s="4">
        <v>45990</v>
      </c>
      <c r="C1005" s="4" t="str">
        <f t="shared" si="30"/>
        <v>Nov</v>
      </c>
      <c r="D1005" t="s">
        <v>1522</v>
      </c>
      <c r="E1005" t="s">
        <v>1526</v>
      </c>
      <c r="F1005" t="s">
        <v>1537</v>
      </c>
      <c r="G1005" t="s">
        <v>1547</v>
      </c>
      <c r="H1005" t="s">
        <v>1551</v>
      </c>
      <c r="I1005">
        <v>2023</v>
      </c>
      <c r="J1005" t="s">
        <v>1553</v>
      </c>
      <c r="K1005" t="s">
        <v>1556</v>
      </c>
      <c r="L1005">
        <v>1057143</v>
      </c>
      <c r="M1005">
        <v>931128</v>
      </c>
      <c r="N1005">
        <v>126015</v>
      </c>
      <c r="O1005">
        <v>38</v>
      </c>
      <c r="P1005" t="str">
        <f t="shared" si="31"/>
        <v>adult</v>
      </c>
      <c r="Q1005" t="s">
        <v>1558</v>
      </c>
      <c r="R1005" t="s">
        <v>1561</v>
      </c>
      <c r="S1005" t="s">
        <v>1567</v>
      </c>
      <c r="T1005">
        <v>1221830</v>
      </c>
      <c r="U1005">
        <v>2</v>
      </c>
      <c r="V1005" t="s">
        <v>1583</v>
      </c>
      <c r="W1005" t="s">
        <v>1593</v>
      </c>
      <c r="X1005">
        <v>11.92</v>
      </c>
    </row>
    <row r="1006" spans="1:24" x14ac:dyDescent="0.25">
      <c r="A1006" t="s">
        <v>1026</v>
      </c>
      <c r="B1006" s="4">
        <v>45932</v>
      </c>
      <c r="C1006" s="4" t="str">
        <f t="shared" si="30"/>
        <v>Oct</v>
      </c>
      <c r="D1006" t="s">
        <v>1522</v>
      </c>
      <c r="E1006" t="s">
        <v>1525</v>
      </c>
      <c r="F1006" t="s">
        <v>1534</v>
      </c>
      <c r="G1006" t="s">
        <v>1548</v>
      </c>
      <c r="H1006" t="s">
        <v>1550</v>
      </c>
      <c r="I1006">
        <v>2025</v>
      </c>
      <c r="J1006" t="s">
        <v>1554</v>
      </c>
      <c r="K1006" t="s">
        <v>1557</v>
      </c>
      <c r="L1006">
        <v>1439047</v>
      </c>
      <c r="M1006">
        <v>1199560</v>
      </c>
      <c r="N1006">
        <v>239487</v>
      </c>
      <c r="O1006">
        <v>34</v>
      </c>
      <c r="P1006" t="str">
        <f t="shared" si="31"/>
        <v>adult</v>
      </c>
      <c r="Q1006" t="s">
        <v>1558</v>
      </c>
      <c r="R1006" t="s">
        <v>1563</v>
      </c>
      <c r="S1006" t="s">
        <v>1569</v>
      </c>
      <c r="T1006">
        <v>1409936</v>
      </c>
      <c r="U1006">
        <v>4</v>
      </c>
      <c r="V1006" t="s">
        <v>1574</v>
      </c>
      <c r="W1006" t="s">
        <v>1593</v>
      </c>
      <c r="X1006">
        <v>16.64</v>
      </c>
    </row>
    <row r="1007" spans="1:24" x14ac:dyDescent="0.25">
      <c r="A1007" t="s">
        <v>1027</v>
      </c>
      <c r="B1007" s="4">
        <v>46197</v>
      </c>
      <c r="C1007" s="4" t="str">
        <f t="shared" si="30"/>
        <v>Jun</v>
      </c>
      <c r="D1007" t="s">
        <v>1522</v>
      </c>
      <c r="E1007" t="s">
        <v>1523</v>
      </c>
      <c r="F1007" t="s">
        <v>1537</v>
      </c>
      <c r="G1007" t="s">
        <v>1542</v>
      </c>
      <c r="H1007" t="s">
        <v>4</v>
      </c>
      <c r="I1007">
        <v>2025</v>
      </c>
      <c r="J1007" t="s">
        <v>1554</v>
      </c>
      <c r="K1007" t="s">
        <v>1556</v>
      </c>
      <c r="L1007">
        <v>1483380</v>
      </c>
      <c r="M1007">
        <v>1331258</v>
      </c>
      <c r="N1007">
        <v>152122</v>
      </c>
      <c r="O1007">
        <v>43</v>
      </c>
      <c r="P1007" t="str">
        <f t="shared" si="31"/>
        <v>adult</v>
      </c>
      <c r="Q1007" t="s">
        <v>1558</v>
      </c>
      <c r="R1007" t="s">
        <v>1566</v>
      </c>
      <c r="S1007" t="s">
        <v>1567</v>
      </c>
      <c r="T1007">
        <v>445747</v>
      </c>
      <c r="U1007">
        <v>1</v>
      </c>
      <c r="V1007" t="s">
        <v>1582</v>
      </c>
      <c r="W1007" t="s">
        <v>1592</v>
      </c>
      <c r="X1007">
        <v>10.26</v>
      </c>
    </row>
    <row r="1008" spans="1:24" x14ac:dyDescent="0.25">
      <c r="A1008" t="s">
        <v>1028</v>
      </c>
      <c r="B1008" s="4">
        <v>46026</v>
      </c>
      <c r="C1008" s="4" t="str">
        <f t="shared" si="30"/>
        <v>Jan</v>
      </c>
      <c r="D1008" t="s">
        <v>1522</v>
      </c>
      <c r="E1008" t="s">
        <v>1525</v>
      </c>
      <c r="F1008" t="s">
        <v>1535</v>
      </c>
      <c r="G1008" t="s">
        <v>1549</v>
      </c>
      <c r="H1008" t="s">
        <v>1552</v>
      </c>
      <c r="I1008">
        <v>2025</v>
      </c>
      <c r="J1008" t="s">
        <v>1555</v>
      </c>
      <c r="K1008" t="s">
        <v>1556</v>
      </c>
      <c r="L1008">
        <v>2009649</v>
      </c>
      <c r="M1008">
        <v>1821418</v>
      </c>
      <c r="N1008">
        <v>188231</v>
      </c>
      <c r="O1008">
        <v>34</v>
      </c>
      <c r="P1008" t="str">
        <f t="shared" si="31"/>
        <v>adult</v>
      </c>
      <c r="Q1008" t="s">
        <v>1558</v>
      </c>
      <c r="R1008" t="s">
        <v>1561</v>
      </c>
      <c r="S1008" t="s">
        <v>1567</v>
      </c>
      <c r="T1008">
        <v>1969182</v>
      </c>
      <c r="U1008">
        <v>2</v>
      </c>
      <c r="V1008" t="s">
        <v>1581</v>
      </c>
      <c r="W1008" t="s">
        <v>1591</v>
      </c>
      <c r="X1008">
        <v>9.3699999999999992</v>
      </c>
    </row>
    <row r="1009" spans="1:24" x14ac:dyDescent="0.25">
      <c r="A1009" t="s">
        <v>1029</v>
      </c>
      <c r="B1009" s="4">
        <v>46239</v>
      </c>
      <c r="C1009" s="4" t="str">
        <f t="shared" si="30"/>
        <v>Aug</v>
      </c>
      <c r="D1009" t="s">
        <v>1522</v>
      </c>
      <c r="E1009" t="s">
        <v>1524</v>
      </c>
      <c r="F1009" t="s">
        <v>1532</v>
      </c>
      <c r="G1009" t="s">
        <v>1542</v>
      </c>
      <c r="H1009" t="s">
        <v>4</v>
      </c>
      <c r="I1009">
        <v>2024</v>
      </c>
      <c r="J1009" t="s">
        <v>1554</v>
      </c>
      <c r="K1009" t="s">
        <v>1556</v>
      </c>
      <c r="L1009">
        <v>1698029</v>
      </c>
      <c r="M1009">
        <v>1415912</v>
      </c>
      <c r="N1009">
        <v>282117</v>
      </c>
      <c r="O1009">
        <v>47</v>
      </c>
      <c r="P1009" t="str">
        <f t="shared" si="31"/>
        <v>adult</v>
      </c>
      <c r="Q1009" t="s">
        <v>1559</v>
      </c>
      <c r="R1009" t="s">
        <v>1564</v>
      </c>
      <c r="S1009" t="s">
        <v>1568</v>
      </c>
      <c r="T1009">
        <v>1269420</v>
      </c>
      <c r="U1009">
        <v>5</v>
      </c>
      <c r="V1009" t="s">
        <v>1576</v>
      </c>
      <c r="W1009" t="s">
        <v>1594</v>
      </c>
      <c r="X1009">
        <v>16.61</v>
      </c>
    </row>
    <row r="1010" spans="1:24" x14ac:dyDescent="0.25">
      <c r="A1010" t="s">
        <v>1030</v>
      </c>
      <c r="B1010" s="4">
        <v>45783</v>
      </c>
      <c r="C1010" s="4" t="str">
        <f t="shared" si="30"/>
        <v>May</v>
      </c>
      <c r="D1010" t="s">
        <v>1522</v>
      </c>
      <c r="E1010" t="s">
        <v>1523</v>
      </c>
      <c r="F1010" t="s">
        <v>1534</v>
      </c>
      <c r="G1010" t="s">
        <v>1538</v>
      </c>
      <c r="H1010" t="s">
        <v>1550</v>
      </c>
      <c r="I1010">
        <v>2023</v>
      </c>
      <c r="J1010" t="s">
        <v>1554</v>
      </c>
      <c r="K1010" t="s">
        <v>1556</v>
      </c>
      <c r="L1010">
        <v>1209409</v>
      </c>
      <c r="M1010">
        <v>1071530</v>
      </c>
      <c r="N1010">
        <v>137879</v>
      </c>
      <c r="O1010">
        <v>51</v>
      </c>
      <c r="P1010" t="str">
        <f t="shared" si="31"/>
        <v>senior</v>
      </c>
      <c r="Q1010" t="s">
        <v>1558</v>
      </c>
      <c r="R1010" t="s">
        <v>1562</v>
      </c>
      <c r="S1010" t="s">
        <v>1568</v>
      </c>
      <c r="T1010">
        <v>2130367</v>
      </c>
      <c r="U1010">
        <v>4</v>
      </c>
      <c r="V1010" t="s">
        <v>1572</v>
      </c>
      <c r="W1010" t="s">
        <v>1592</v>
      </c>
      <c r="X1010">
        <v>11.4</v>
      </c>
    </row>
    <row r="1011" spans="1:24" x14ac:dyDescent="0.25">
      <c r="A1011" t="s">
        <v>1031</v>
      </c>
      <c r="B1011" s="4">
        <v>45967</v>
      </c>
      <c r="C1011" s="4" t="str">
        <f t="shared" si="30"/>
        <v>Nov</v>
      </c>
      <c r="D1011" t="s">
        <v>1522</v>
      </c>
      <c r="E1011" t="s">
        <v>1524</v>
      </c>
      <c r="F1011" t="s">
        <v>1532</v>
      </c>
      <c r="G1011" t="s">
        <v>1542</v>
      </c>
      <c r="H1011" t="s">
        <v>4</v>
      </c>
      <c r="I1011">
        <v>2025</v>
      </c>
      <c r="J1011" t="s">
        <v>1554</v>
      </c>
      <c r="K1011" t="s">
        <v>1556</v>
      </c>
      <c r="L1011">
        <v>1481905</v>
      </c>
      <c r="M1011">
        <v>1372897</v>
      </c>
      <c r="N1011">
        <v>109008</v>
      </c>
      <c r="O1011">
        <v>43</v>
      </c>
      <c r="P1011" t="str">
        <f t="shared" si="31"/>
        <v>adult</v>
      </c>
      <c r="Q1011" t="s">
        <v>1558</v>
      </c>
      <c r="R1011" t="s">
        <v>1562</v>
      </c>
      <c r="S1011" t="s">
        <v>1567</v>
      </c>
      <c r="T1011">
        <v>1538682</v>
      </c>
      <c r="U1011">
        <v>2</v>
      </c>
      <c r="V1011" t="s">
        <v>1583</v>
      </c>
      <c r="W1011" t="s">
        <v>1593</v>
      </c>
      <c r="X1011">
        <v>7.36</v>
      </c>
    </row>
    <row r="1012" spans="1:24" x14ac:dyDescent="0.25">
      <c r="A1012" t="s">
        <v>1032</v>
      </c>
      <c r="B1012" s="4">
        <v>45907</v>
      </c>
      <c r="C1012" s="4" t="str">
        <f t="shared" si="30"/>
        <v>Sep</v>
      </c>
      <c r="D1012" t="s">
        <v>1522</v>
      </c>
      <c r="E1012" t="s">
        <v>1524</v>
      </c>
      <c r="F1012" t="s">
        <v>1530</v>
      </c>
      <c r="G1012" t="s">
        <v>1543</v>
      </c>
      <c r="H1012" t="s">
        <v>1550</v>
      </c>
      <c r="I1012">
        <v>2023</v>
      </c>
      <c r="J1012" t="s">
        <v>1554</v>
      </c>
      <c r="K1012" t="s">
        <v>1557</v>
      </c>
      <c r="L1012">
        <v>1193020</v>
      </c>
      <c r="M1012">
        <v>1054880</v>
      </c>
      <c r="N1012">
        <v>138140</v>
      </c>
      <c r="O1012">
        <v>65</v>
      </c>
      <c r="P1012" t="str">
        <f t="shared" si="31"/>
        <v>senior</v>
      </c>
      <c r="Q1012" t="s">
        <v>1558</v>
      </c>
      <c r="R1012" t="s">
        <v>1566</v>
      </c>
      <c r="S1012" t="s">
        <v>1567</v>
      </c>
      <c r="T1012">
        <v>996612</v>
      </c>
      <c r="U1012">
        <v>4</v>
      </c>
      <c r="V1012" t="s">
        <v>1577</v>
      </c>
      <c r="W1012" t="s">
        <v>1594</v>
      </c>
      <c r="X1012">
        <v>11.58</v>
      </c>
    </row>
    <row r="1013" spans="1:24" x14ac:dyDescent="0.25">
      <c r="A1013" t="s">
        <v>1033</v>
      </c>
      <c r="B1013" s="4">
        <v>45967</v>
      </c>
      <c r="C1013" s="4" t="str">
        <f t="shared" si="30"/>
        <v>Nov</v>
      </c>
      <c r="D1013" t="s">
        <v>1522</v>
      </c>
      <c r="E1013" t="s">
        <v>1525</v>
      </c>
      <c r="F1013" t="s">
        <v>1537</v>
      </c>
      <c r="G1013" t="s">
        <v>1538</v>
      </c>
      <c r="H1013" t="s">
        <v>4</v>
      </c>
      <c r="I1013">
        <v>2026</v>
      </c>
      <c r="J1013" t="s">
        <v>1554</v>
      </c>
      <c r="K1013" t="s">
        <v>1557</v>
      </c>
      <c r="L1013">
        <v>1833974</v>
      </c>
      <c r="M1013">
        <v>1687286</v>
      </c>
      <c r="N1013">
        <v>146688</v>
      </c>
      <c r="O1013">
        <v>34</v>
      </c>
      <c r="P1013" t="str">
        <f t="shared" si="31"/>
        <v>adult</v>
      </c>
      <c r="Q1013" t="s">
        <v>1559</v>
      </c>
      <c r="R1013" t="s">
        <v>1564</v>
      </c>
      <c r="S1013" t="s">
        <v>1568</v>
      </c>
      <c r="T1013">
        <v>1623872</v>
      </c>
      <c r="U1013">
        <v>5</v>
      </c>
      <c r="V1013" t="s">
        <v>1583</v>
      </c>
      <c r="W1013" t="s">
        <v>1593</v>
      </c>
      <c r="X1013">
        <v>8</v>
      </c>
    </row>
    <row r="1014" spans="1:24" x14ac:dyDescent="0.25">
      <c r="A1014" t="s">
        <v>1034</v>
      </c>
      <c r="B1014" s="4">
        <v>45818</v>
      </c>
      <c r="C1014" s="4" t="str">
        <f t="shared" si="30"/>
        <v>Jun</v>
      </c>
      <c r="D1014" t="s">
        <v>1522</v>
      </c>
      <c r="E1014" t="s">
        <v>1526</v>
      </c>
      <c r="F1014" t="s">
        <v>1532</v>
      </c>
      <c r="G1014" t="s">
        <v>1541</v>
      </c>
      <c r="H1014" t="s">
        <v>4</v>
      </c>
      <c r="I1014">
        <v>2025</v>
      </c>
      <c r="J1014" t="s">
        <v>1554</v>
      </c>
      <c r="K1014" t="s">
        <v>1556</v>
      </c>
      <c r="L1014">
        <v>1409786</v>
      </c>
      <c r="M1014">
        <v>1309534</v>
      </c>
      <c r="N1014">
        <v>100252</v>
      </c>
      <c r="O1014">
        <v>62</v>
      </c>
      <c r="P1014" t="str">
        <f t="shared" si="31"/>
        <v>senior</v>
      </c>
      <c r="Q1014" t="s">
        <v>1558</v>
      </c>
      <c r="R1014" t="s">
        <v>1562</v>
      </c>
      <c r="S1014" t="s">
        <v>1568</v>
      </c>
      <c r="T1014">
        <v>428028</v>
      </c>
      <c r="U1014">
        <v>1</v>
      </c>
      <c r="V1014" t="s">
        <v>1584</v>
      </c>
      <c r="W1014" t="s">
        <v>1592</v>
      </c>
      <c r="X1014">
        <v>7.11</v>
      </c>
    </row>
    <row r="1015" spans="1:24" x14ac:dyDescent="0.25">
      <c r="A1015" t="s">
        <v>1035</v>
      </c>
      <c r="B1015" s="4">
        <v>46115</v>
      </c>
      <c r="C1015" s="4" t="str">
        <f t="shared" si="30"/>
        <v>Apr</v>
      </c>
      <c r="D1015" t="s">
        <v>1522</v>
      </c>
      <c r="E1015" t="s">
        <v>1527</v>
      </c>
      <c r="F1015" t="s">
        <v>1531</v>
      </c>
      <c r="G1015" t="s">
        <v>1544</v>
      </c>
      <c r="H1015" t="s">
        <v>1550</v>
      </c>
      <c r="I1015">
        <v>2025</v>
      </c>
      <c r="J1015" t="s">
        <v>1554</v>
      </c>
      <c r="K1015" t="s">
        <v>1556</v>
      </c>
      <c r="L1015">
        <v>1631176</v>
      </c>
      <c r="M1015">
        <v>1454618</v>
      </c>
      <c r="N1015">
        <v>176558</v>
      </c>
      <c r="O1015">
        <v>54</v>
      </c>
      <c r="P1015" t="str">
        <f t="shared" si="31"/>
        <v>senior</v>
      </c>
      <c r="Q1015" t="s">
        <v>1558</v>
      </c>
      <c r="R1015" t="s">
        <v>1562</v>
      </c>
      <c r="S1015" t="s">
        <v>1569</v>
      </c>
      <c r="T1015">
        <v>53706</v>
      </c>
      <c r="U1015">
        <v>1</v>
      </c>
      <c r="V1015" t="s">
        <v>1580</v>
      </c>
      <c r="W1015" t="s">
        <v>1592</v>
      </c>
      <c r="X1015">
        <v>10.82</v>
      </c>
    </row>
    <row r="1016" spans="1:24" x14ac:dyDescent="0.25">
      <c r="A1016" t="s">
        <v>1036</v>
      </c>
      <c r="B1016" s="4">
        <v>46127</v>
      </c>
      <c r="C1016" s="4" t="str">
        <f t="shared" si="30"/>
        <v>Apr</v>
      </c>
      <c r="D1016" t="s">
        <v>1522</v>
      </c>
      <c r="E1016" t="s">
        <v>1523</v>
      </c>
      <c r="F1016" t="s">
        <v>1532</v>
      </c>
      <c r="G1016" t="s">
        <v>1547</v>
      </c>
      <c r="H1016" t="s">
        <v>1551</v>
      </c>
      <c r="I1016">
        <v>2023</v>
      </c>
      <c r="J1016" t="s">
        <v>1554</v>
      </c>
      <c r="K1016" t="s">
        <v>1557</v>
      </c>
      <c r="L1016">
        <v>861555</v>
      </c>
      <c r="M1016">
        <v>846156</v>
      </c>
      <c r="N1016">
        <v>15399</v>
      </c>
      <c r="O1016">
        <v>59</v>
      </c>
      <c r="P1016" t="str">
        <f t="shared" si="31"/>
        <v>senior</v>
      </c>
      <c r="Q1016" t="s">
        <v>1559</v>
      </c>
      <c r="R1016" t="s">
        <v>1565</v>
      </c>
      <c r="S1016" t="s">
        <v>1567</v>
      </c>
      <c r="T1016">
        <v>427606</v>
      </c>
      <c r="U1016">
        <v>4</v>
      </c>
      <c r="V1016" t="s">
        <v>1580</v>
      </c>
      <c r="W1016" t="s">
        <v>1592</v>
      </c>
      <c r="X1016">
        <v>1.79</v>
      </c>
    </row>
    <row r="1017" spans="1:24" x14ac:dyDescent="0.25">
      <c r="A1017" t="s">
        <v>1037</v>
      </c>
      <c r="B1017" s="4">
        <v>45821</v>
      </c>
      <c r="C1017" s="4" t="str">
        <f t="shared" si="30"/>
        <v>Jun</v>
      </c>
      <c r="D1017" t="s">
        <v>1522</v>
      </c>
      <c r="E1017" t="s">
        <v>1526</v>
      </c>
      <c r="F1017" t="s">
        <v>1537</v>
      </c>
      <c r="G1017" t="s">
        <v>1539</v>
      </c>
      <c r="H1017" t="s">
        <v>1551</v>
      </c>
      <c r="I1017">
        <v>2024</v>
      </c>
      <c r="J1017" t="s">
        <v>1554</v>
      </c>
      <c r="K1017" t="s">
        <v>1556</v>
      </c>
      <c r="L1017">
        <v>885376</v>
      </c>
      <c r="M1017">
        <v>814735</v>
      </c>
      <c r="N1017">
        <v>70641</v>
      </c>
      <c r="O1017">
        <v>64</v>
      </c>
      <c r="P1017" t="str">
        <f t="shared" si="31"/>
        <v>senior</v>
      </c>
      <c r="Q1017" t="s">
        <v>1560</v>
      </c>
      <c r="R1017" t="s">
        <v>1561</v>
      </c>
      <c r="S1017" t="s">
        <v>1567</v>
      </c>
      <c r="T1017">
        <v>315120</v>
      </c>
      <c r="U1017">
        <v>2</v>
      </c>
      <c r="V1017" t="s">
        <v>1584</v>
      </c>
      <c r="W1017" t="s">
        <v>1592</v>
      </c>
      <c r="X1017">
        <v>7.98</v>
      </c>
    </row>
    <row r="1018" spans="1:24" x14ac:dyDescent="0.25">
      <c r="A1018" t="s">
        <v>1038</v>
      </c>
      <c r="B1018" s="4">
        <v>45834</v>
      </c>
      <c r="C1018" s="4" t="str">
        <f t="shared" si="30"/>
        <v>Jun</v>
      </c>
      <c r="D1018" t="s">
        <v>1522</v>
      </c>
      <c r="E1018" t="s">
        <v>1524</v>
      </c>
      <c r="F1018" t="s">
        <v>1532</v>
      </c>
      <c r="G1018" t="s">
        <v>1543</v>
      </c>
      <c r="H1018" t="s">
        <v>1551</v>
      </c>
      <c r="I1018">
        <v>2023</v>
      </c>
      <c r="J1018" t="s">
        <v>1554</v>
      </c>
      <c r="K1018" t="s">
        <v>1557</v>
      </c>
      <c r="L1018">
        <v>939140</v>
      </c>
      <c r="M1018">
        <v>857408</v>
      </c>
      <c r="N1018">
        <v>81732</v>
      </c>
      <c r="O1018">
        <v>39</v>
      </c>
      <c r="P1018" t="str">
        <f t="shared" si="31"/>
        <v>adult</v>
      </c>
      <c r="Q1018" t="s">
        <v>1558</v>
      </c>
      <c r="R1018" t="s">
        <v>1563</v>
      </c>
      <c r="S1018" t="s">
        <v>1570</v>
      </c>
      <c r="T1018">
        <v>1052659</v>
      </c>
      <c r="U1018">
        <v>2</v>
      </c>
      <c r="V1018" t="s">
        <v>1584</v>
      </c>
      <c r="W1018" t="s">
        <v>1592</v>
      </c>
      <c r="X1018">
        <v>8.6999999999999993</v>
      </c>
    </row>
    <row r="1019" spans="1:24" x14ac:dyDescent="0.25">
      <c r="A1019" t="s">
        <v>1039</v>
      </c>
      <c r="B1019" s="4">
        <v>46074</v>
      </c>
      <c r="C1019" s="4" t="str">
        <f t="shared" si="30"/>
        <v>Feb</v>
      </c>
      <c r="D1019" t="s">
        <v>1522</v>
      </c>
      <c r="E1019" t="s">
        <v>1525</v>
      </c>
      <c r="F1019" t="s">
        <v>1535</v>
      </c>
      <c r="G1019" t="s">
        <v>1538</v>
      </c>
      <c r="H1019" t="s">
        <v>4</v>
      </c>
      <c r="I1019">
        <v>2026</v>
      </c>
      <c r="J1019" t="s">
        <v>1554</v>
      </c>
      <c r="K1019" t="s">
        <v>1556</v>
      </c>
      <c r="L1019">
        <v>1286719</v>
      </c>
      <c r="M1019">
        <v>1185175</v>
      </c>
      <c r="N1019">
        <v>101544</v>
      </c>
      <c r="O1019">
        <v>30</v>
      </c>
      <c r="P1019" t="str">
        <f t="shared" si="31"/>
        <v>young</v>
      </c>
      <c r="Q1019" t="s">
        <v>1558</v>
      </c>
      <c r="R1019" t="s">
        <v>1562</v>
      </c>
      <c r="S1019" t="s">
        <v>1567</v>
      </c>
      <c r="T1019">
        <v>1091948</v>
      </c>
      <c r="U1019">
        <v>4</v>
      </c>
      <c r="V1019" t="s">
        <v>1589</v>
      </c>
      <c r="W1019" t="s">
        <v>1591</v>
      </c>
      <c r="X1019">
        <v>7.89</v>
      </c>
    </row>
    <row r="1020" spans="1:24" x14ac:dyDescent="0.25">
      <c r="A1020" t="s">
        <v>1040</v>
      </c>
      <c r="B1020" s="4">
        <v>46183</v>
      </c>
      <c r="C1020" s="4" t="str">
        <f t="shared" si="30"/>
        <v>Jun</v>
      </c>
      <c r="D1020" t="s">
        <v>1522</v>
      </c>
      <c r="E1020" t="s">
        <v>1523</v>
      </c>
      <c r="F1020" t="s">
        <v>1530</v>
      </c>
      <c r="G1020" t="s">
        <v>1539</v>
      </c>
      <c r="H1020" t="s">
        <v>1550</v>
      </c>
      <c r="I1020">
        <v>2024</v>
      </c>
      <c r="J1020" t="s">
        <v>1554</v>
      </c>
      <c r="K1020" t="s">
        <v>1557</v>
      </c>
      <c r="L1020">
        <v>1626648</v>
      </c>
      <c r="M1020">
        <v>1534822</v>
      </c>
      <c r="N1020">
        <v>91826</v>
      </c>
      <c r="O1020">
        <v>22</v>
      </c>
      <c r="P1020" t="str">
        <f t="shared" si="31"/>
        <v>young</v>
      </c>
      <c r="Q1020" t="s">
        <v>1558</v>
      </c>
      <c r="R1020" t="s">
        <v>1565</v>
      </c>
      <c r="S1020" t="s">
        <v>1568</v>
      </c>
      <c r="T1020">
        <v>497763</v>
      </c>
      <c r="U1020">
        <v>2</v>
      </c>
      <c r="V1020" t="s">
        <v>1582</v>
      </c>
      <c r="W1020" t="s">
        <v>1592</v>
      </c>
      <c r="X1020">
        <v>5.65</v>
      </c>
    </row>
    <row r="1021" spans="1:24" x14ac:dyDescent="0.25">
      <c r="A1021" t="s">
        <v>1041</v>
      </c>
      <c r="B1021" s="4">
        <v>46227</v>
      </c>
      <c r="C1021" s="4" t="str">
        <f t="shared" si="30"/>
        <v>Jul</v>
      </c>
      <c r="D1021" t="s">
        <v>1522</v>
      </c>
      <c r="E1021" t="s">
        <v>1523</v>
      </c>
      <c r="F1021" t="s">
        <v>1534</v>
      </c>
      <c r="G1021" t="s">
        <v>1547</v>
      </c>
      <c r="H1021" t="s">
        <v>1552</v>
      </c>
      <c r="I1021">
        <v>2025</v>
      </c>
      <c r="J1021" t="s">
        <v>1555</v>
      </c>
      <c r="K1021" t="s">
        <v>1556</v>
      </c>
      <c r="L1021">
        <v>1880823</v>
      </c>
      <c r="M1021">
        <v>1519961</v>
      </c>
      <c r="N1021">
        <v>360862</v>
      </c>
      <c r="O1021">
        <v>29</v>
      </c>
      <c r="P1021" t="str">
        <f t="shared" si="31"/>
        <v>young</v>
      </c>
      <c r="Q1021" t="s">
        <v>1558</v>
      </c>
      <c r="R1021" t="s">
        <v>1566</v>
      </c>
      <c r="S1021" t="s">
        <v>1568</v>
      </c>
      <c r="T1021">
        <v>987338</v>
      </c>
      <c r="U1021">
        <v>3</v>
      </c>
      <c r="V1021" t="s">
        <v>1587</v>
      </c>
      <c r="W1021" t="s">
        <v>1594</v>
      </c>
      <c r="X1021">
        <v>19.190000000000001</v>
      </c>
    </row>
    <row r="1022" spans="1:24" x14ac:dyDescent="0.25">
      <c r="A1022" t="s">
        <v>1042</v>
      </c>
      <c r="B1022" s="4">
        <v>45975</v>
      </c>
      <c r="C1022" s="4" t="str">
        <f t="shared" si="30"/>
        <v>Nov</v>
      </c>
      <c r="D1022" t="s">
        <v>1522</v>
      </c>
      <c r="E1022" t="s">
        <v>1524</v>
      </c>
      <c r="F1022" t="s">
        <v>1530</v>
      </c>
      <c r="G1022" t="s">
        <v>1538</v>
      </c>
      <c r="H1022" t="s">
        <v>1551</v>
      </c>
      <c r="I1022">
        <v>2023</v>
      </c>
      <c r="J1022" t="s">
        <v>1554</v>
      </c>
      <c r="K1022" t="s">
        <v>1556</v>
      </c>
      <c r="L1022">
        <v>881411</v>
      </c>
      <c r="M1022">
        <v>785738</v>
      </c>
      <c r="N1022">
        <v>95673</v>
      </c>
      <c r="O1022">
        <v>37</v>
      </c>
      <c r="P1022" t="str">
        <f t="shared" si="31"/>
        <v>adult</v>
      </c>
      <c r="Q1022" t="s">
        <v>1558</v>
      </c>
      <c r="R1022" t="s">
        <v>1565</v>
      </c>
      <c r="S1022" t="s">
        <v>1567</v>
      </c>
      <c r="T1022">
        <v>946830</v>
      </c>
      <c r="U1022">
        <v>3</v>
      </c>
      <c r="V1022" t="s">
        <v>1583</v>
      </c>
      <c r="W1022" t="s">
        <v>1593</v>
      </c>
      <c r="X1022">
        <v>10.85</v>
      </c>
    </row>
    <row r="1023" spans="1:24" x14ac:dyDescent="0.25">
      <c r="A1023" t="s">
        <v>1043</v>
      </c>
      <c r="B1023" s="4">
        <v>45958</v>
      </c>
      <c r="C1023" s="4" t="str">
        <f t="shared" si="30"/>
        <v>Oct</v>
      </c>
      <c r="D1023" t="s">
        <v>1522</v>
      </c>
      <c r="E1023" t="s">
        <v>1527</v>
      </c>
      <c r="F1023" t="s">
        <v>1532</v>
      </c>
      <c r="G1023" t="s">
        <v>1548</v>
      </c>
      <c r="H1023" t="s">
        <v>1550</v>
      </c>
      <c r="I1023">
        <v>2024</v>
      </c>
      <c r="J1023" t="s">
        <v>1554</v>
      </c>
      <c r="K1023" t="s">
        <v>1556</v>
      </c>
      <c r="L1023">
        <v>1590652</v>
      </c>
      <c r="M1023">
        <v>1360780</v>
      </c>
      <c r="N1023">
        <v>229872</v>
      </c>
      <c r="O1023">
        <v>39</v>
      </c>
      <c r="P1023" t="str">
        <f t="shared" si="31"/>
        <v>adult</v>
      </c>
      <c r="Q1023" t="s">
        <v>1559</v>
      </c>
      <c r="R1023" t="s">
        <v>1561</v>
      </c>
      <c r="S1023" t="s">
        <v>1567</v>
      </c>
      <c r="T1023">
        <v>1759215</v>
      </c>
      <c r="U1023">
        <v>1</v>
      </c>
      <c r="V1023" t="s">
        <v>1574</v>
      </c>
      <c r="W1023" t="s">
        <v>1593</v>
      </c>
      <c r="X1023">
        <v>14.45</v>
      </c>
    </row>
    <row r="1024" spans="1:24" x14ac:dyDescent="0.25">
      <c r="A1024" t="s">
        <v>1044</v>
      </c>
      <c r="B1024" s="4">
        <v>46115</v>
      </c>
      <c r="C1024" s="4" t="str">
        <f t="shared" si="30"/>
        <v>Apr</v>
      </c>
      <c r="D1024" t="s">
        <v>1522</v>
      </c>
      <c r="E1024" t="s">
        <v>1525</v>
      </c>
      <c r="F1024" t="s">
        <v>1531</v>
      </c>
      <c r="G1024" t="s">
        <v>1547</v>
      </c>
      <c r="H1024" t="s">
        <v>4</v>
      </c>
      <c r="I1024">
        <v>2023</v>
      </c>
      <c r="J1024" t="s">
        <v>1554</v>
      </c>
      <c r="K1024" t="s">
        <v>1556</v>
      </c>
      <c r="L1024">
        <v>1481511</v>
      </c>
      <c r="M1024">
        <v>1388139</v>
      </c>
      <c r="N1024">
        <v>93372</v>
      </c>
      <c r="O1024">
        <v>36</v>
      </c>
      <c r="P1024" t="str">
        <f t="shared" si="31"/>
        <v>adult</v>
      </c>
      <c r="Q1024" t="s">
        <v>1558</v>
      </c>
      <c r="R1024" t="s">
        <v>1565</v>
      </c>
      <c r="S1024" t="s">
        <v>1568</v>
      </c>
      <c r="T1024">
        <v>816817</v>
      </c>
      <c r="U1024">
        <v>1</v>
      </c>
      <c r="V1024" t="s">
        <v>1580</v>
      </c>
      <c r="W1024" t="s">
        <v>1592</v>
      </c>
      <c r="X1024">
        <v>6.3</v>
      </c>
    </row>
    <row r="1025" spans="1:24" x14ac:dyDescent="0.25">
      <c r="A1025" t="s">
        <v>1045</v>
      </c>
      <c r="B1025" s="4">
        <v>45717</v>
      </c>
      <c r="C1025" s="4" t="str">
        <f t="shared" si="30"/>
        <v>Mar</v>
      </c>
      <c r="D1025" t="s">
        <v>1522</v>
      </c>
      <c r="E1025" t="s">
        <v>1524</v>
      </c>
      <c r="F1025" t="s">
        <v>1537</v>
      </c>
      <c r="G1025" t="s">
        <v>1543</v>
      </c>
      <c r="H1025" t="s">
        <v>1551</v>
      </c>
      <c r="I1025">
        <v>2025</v>
      </c>
      <c r="J1025" t="s">
        <v>1554</v>
      </c>
      <c r="K1025" t="s">
        <v>1557</v>
      </c>
      <c r="L1025">
        <v>937707</v>
      </c>
      <c r="M1025">
        <v>787269</v>
      </c>
      <c r="N1025">
        <v>150438</v>
      </c>
      <c r="O1025">
        <v>46</v>
      </c>
      <c r="P1025" t="str">
        <f t="shared" si="31"/>
        <v>adult</v>
      </c>
      <c r="Q1025" t="s">
        <v>1559</v>
      </c>
      <c r="R1025" t="s">
        <v>1566</v>
      </c>
      <c r="S1025" t="s">
        <v>1568</v>
      </c>
      <c r="T1025">
        <v>2187678</v>
      </c>
      <c r="U1025">
        <v>3</v>
      </c>
      <c r="V1025" t="s">
        <v>1588</v>
      </c>
      <c r="W1025" t="s">
        <v>1591</v>
      </c>
      <c r="X1025">
        <v>16.04</v>
      </c>
    </row>
    <row r="1026" spans="1:24" x14ac:dyDescent="0.25">
      <c r="A1026" t="s">
        <v>1046</v>
      </c>
      <c r="B1026" s="4">
        <v>46073</v>
      </c>
      <c r="C1026" s="4" t="str">
        <f t="shared" si="30"/>
        <v>Feb</v>
      </c>
      <c r="D1026" t="s">
        <v>1522</v>
      </c>
      <c r="E1026" t="s">
        <v>1524</v>
      </c>
      <c r="F1026" t="s">
        <v>1536</v>
      </c>
      <c r="G1026" t="s">
        <v>1538</v>
      </c>
      <c r="H1026" t="s">
        <v>4</v>
      </c>
      <c r="I1026">
        <v>2026</v>
      </c>
      <c r="J1026" t="s">
        <v>1554</v>
      </c>
      <c r="K1026" t="s">
        <v>1556</v>
      </c>
      <c r="L1026">
        <v>1850672</v>
      </c>
      <c r="M1026">
        <v>1739220</v>
      </c>
      <c r="N1026">
        <v>111452</v>
      </c>
      <c r="O1026">
        <v>28</v>
      </c>
      <c r="P1026" t="str">
        <f t="shared" si="31"/>
        <v>young</v>
      </c>
      <c r="Q1026" t="s">
        <v>1558</v>
      </c>
      <c r="R1026" t="s">
        <v>1561</v>
      </c>
      <c r="S1026" t="s">
        <v>1567</v>
      </c>
      <c r="T1026">
        <v>1752083</v>
      </c>
      <c r="U1026">
        <v>2</v>
      </c>
      <c r="V1026" t="s">
        <v>1589</v>
      </c>
      <c r="W1026" t="s">
        <v>1591</v>
      </c>
      <c r="X1026">
        <v>6.02</v>
      </c>
    </row>
    <row r="1027" spans="1:24" x14ac:dyDescent="0.25">
      <c r="A1027" t="s">
        <v>1047</v>
      </c>
      <c r="B1027" s="4">
        <v>46194</v>
      </c>
      <c r="C1027" s="4" t="str">
        <f t="shared" ref="C1027:C1090" si="32">TEXT(B1027,"MMM")</f>
        <v>Jun</v>
      </c>
      <c r="D1027" t="s">
        <v>1522</v>
      </c>
      <c r="E1027" t="s">
        <v>1525</v>
      </c>
      <c r="F1027" t="s">
        <v>1528</v>
      </c>
      <c r="G1027" t="s">
        <v>1547</v>
      </c>
      <c r="H1027" t="s">
        <v>4</v>
      </c>
      <c r="I1027">
        <v>2024</v>
      </c>
      <c r="J1027" t="s">
        <v>1554</v>
      </c>
      <c r="K1027" t="s">
        <v>1556</v>
      </c>
      <c r="L1027">
        <v>1523417</v>
      </c>
      <c r="M1027">
        <v>1312833</v>
      </c>
      <c r="N1027">
        <v>210584</v>
      </c>
      <c r="O1027">
        <v>24</v>
      </c>
      <c r="P1027" t="str">
        <f t="shared" ref="P1027:P1090" si="33">IF(O1027&gt;50,"senior",IF(O1027&gt;30,"adult","young"))</f>
        <v>young</v>
      </c>
      <c r="Q1027" t="s">
        <v>1558</v>
      </c>
      <c r="R1027" t="s">
        <v>1565</v>
      </c>
      <c r="S1027" t="s">
        <v>1570</v>
      </c>
      <c r="T1027">
        <v>336170</v>
      </c>
      <c r="U1027">
        <v>2</v>
      </c>
      <c r="V1027" t="s">
        <v>1582</v>
      </c>
      <c r="W1027" t="s">
        <v>1592</v>
      </c>
      <c r="X1027">
        <v>13.82</v>
      </c>
    </row>
    <row r="1028" spans="1:24" x14ac:dyDescent="0.25">
      <c r="A1028" t="s">
        <v>1048</v>
      </c>
      <c r="B1028" s="4">
        <v>46018</v>
      </c>
      <c r="C1028" s="4" t="str">
        <f t="shared" si="32"/>
        <v>Dec</v>
      </c>
      <c r="D1028" t="s">
        <v>1522</v>
      </c>
      <c r="E1028" t="s">
        <v>1527</v>
      </c>
      <c r="F1028" t="s">
        <v>1536</v>
      </c>
      <c r="G1028" t="s">
        <v>1545</v>
      </c>
      <c r="H1028" t="s">
        <v>1550</v>
      </c>
      <c r="I1028">
        <v>2025</v>
      </c>
      <c r="J1028" t="s">
        <v>1554</v>
      </c>
      <c r="K1028" t="s">
        <v>1557</v>
      </c>
      <c r="L1028">
        <v>1291664</v>
      </c>
      <c r="M1028">
        <v>1108334</v>
      </c>
      <c r="N1028">
        <v>183330</v>
      </c>
      <c r="O1028">
        <v>26</v>
      </c>
      <c r="P1028" t="str">
        <f t="shared" si="33"/>
        <v>young</v>
      </c>
      <c r="Q1028" t="s">
        <v>1559</v>
      </c>
      <c r="R1028" t="s">
        <v>1561</v>
      </c>
      <c r="S1028" t="s">
        <v>1570</v>
      </c>
      <c r="T1028">
        <v>25756</v>
      </c>
      <c r="U1028">
        <v>1</v>
      </c>
      <c r="V1028" t="s">
        <v>1575</v>
      </c>
      <c r="W1028" t="s">
        <v>1593</v>
      </c>
      <c r="X1028">
        <v>14.19</v>
      </c>
    </row>
    <row r="1029" spans="1:24" x14ac:dyDescent="0.25">
      <c r="A1029" t="s">
        <v>1049</v>
      </c>
      <c r="B1029" s="4">
        <v>45843</v>
      </c>
      <c r="C1029" s="4" t="str">
        <f t="shared" si="32"/>
        <v>Jul</v>
      </c>
      <c r="D1029" t="s">
        <v>1522</v>
      </c>
      <c r="E1029" t="s">
        <v>1523</v>
      </c>
      <c r="F1029" t="s">
        <v>1532</v>
      </c>
      <c r="G1029" t="s">
        <v>1545</v>
      </c>
      <c r="H1029" t="s">
        <v>4</v>
      </c>
      <c r="I1029">
        <v>2023</v>
      </c>
      <c r="J1029" t="s">
        <v>1554</v>
      </c>
      <c r="K1029" t="s">
        <v>1556</v>
      </c>
      <c r="L1029">
        <v>1399134</v>
      </c>
      <c r="M1029">
        <v>1129727</v>
      </c>
      <c r="N1029">
        <v>269407</v>
      </c>
      <c r="O1029">
        <v>34</v>
      </c>
      <c r="P1029" t="str">
        <f t="shared" si="33"/>
        <v>adult</v>
      </c>
      <c r="Q1029" t="s">
        <v>1558</v>
      </c>
      <c r="R1029" t="s">
        <v>1564</v>
      </c>
      <c r="S1029" t="s">
        <v>1567</v>
      </c>
      <c r="T1029">
        <v>1449371</v>
      </c>
      <c r="U1029">
        <v>1</v>
      </c>
      <c r="V1029" t="s">
        <v>1579</v>
      </c>
      <c r="W1029" t="s">
        <v>1594</v>
      </c>
      <c r="X1029">
        <v>19.260000000000002</v>
      </c>
    </row>
    <row r="1030" spans="1:24" x14ac:dyDescent="0.25">
      <c r="A1030" t="s">
        <v>1050</v>
      </c>
      <c r="B1030" s="4">
        <v>45776</v>
      </c>
      <c r="C1030" s="4" t="str">
        <f t="shared" si="32"/>
        <v>Apr</v>
      </c>
      <c r="D1030" t="s">
        <v>1522</v>
      </c>
      <c r="E1030" t="s">
        <v>1523</v>
      </c>
      <c r="F1030" t="s">
        <v>1529</v>
      </c>
      <c r="G1030" t="s">
        <v>1544</v>
      </c>
      <c r="H1030" t="s">
        <v>1552</v>
      </c>
      <c r="I1030">
        <v>2024</v>
      </c>
      <c r="J1030" t="s">
        <v>1555</v>
      </c>
      <c r="K1030" t="s">
        <v>1556</v>
      </c>
      <c r="L1030">
        <v>2076737</v>
      </c>
      <c r="M1030">
        <v>1688977</v>
      </c>
      <c r="N1030">
        <v>387760</v>
      </c>
      <c r="O1030">
        <v>64</v>
      </c>
      <c r="P1030" t="str">
        <f t="shared" si="33"/>
        <v>senior</v>
      </c>
      <c r="Q1030" t="s">
        <v>1560</v>
      </c>
      <c r="R1030" t="s">
        <v>1564</v>
      </c>
      <c r="S1030" t="s">
        <v>1567</v>
      </c>
      <c r="T1030">
        <v>743745</v>
      </c>
      <c r="U1030">
        <v>5</v>
      </c>
      <c r="V1030" t="s">
        <v>1573</v>
      </c>
      <c r="W1030" t="s">
        <v>1592</v>
      </c>
      <c r="X1030">
        <v>18.670000000000002</v>
      </c>
    </row>
    <row r="1031" spans="1:24" x14ac:dyDescent="0.25">
      <c r="A1031" t="s">
        <v>1051</v>
      </c>
      <c r="B1031" s="4">
        <v>45767</v>
      </c>
      <c r="C1031" s="4" t="str">
        <f t="shared" si="32"/>
        <v>Apr</v>
      </c>
      <c r="D1031" t="s">
        <v>1522</v>
      </c>
      <c r="E1031" t="s">
        <v>1523</v>
      </c>
      <c r="F1031" t="s">
        <v>1528</v>
      </c>
      <c r="G1031" t="s">
        <v>1549</v>
      </c>
      <c r="H1031" t="s">
        <v>1550</v>
      </c>
      <c r="I1031">
        <v>2023</v>
      </c>
      <c r="J1031" t="s">
        <v>1553</v>
      </c>
      <c r="K1031" t="s">
        <v>1556</v>
      </c>
      <c r="L1031">
        <v>1548819</v>
      </c>
      <c r="M1031">
        <v>1284050</v>
      </c>
      <c r="N1031">
        <v>264769</v>
      </c>
      <c r="O1031">
        <v>31</v>
      </c>
      <c r="P1031" t="str">
        <f t="shared" si="33"/>
        <v>adult</v>
      </c>
      <c r="Q1031" t="s">
        <v>1558</v>
      </c>
      <c r="R1031" t="s">
        <v>1564</v>
      </c>
      <c r="S1031" t="s">
        <v>1567</v>
      </c>
      <c r="T1031">
        <v>605996</v>
      </c>
      <c r="U1031">
        <v>5</v>
      </c>
      <c r="V1031" t="s">
        <v>1573</v>
      </c>
      <c r="W1031" t="s">
        <v>1592</v>
      </c>
      <c r="X1031">
        <v>17.09</v>
      </c>
    </row>
    <row r="1032" spans="1:24" x14ac:dyDescent="0.25">
      <c r="A1032" t="s">
        <v>1052</v>
      </c>
      <c r="B1032" s="4">
        <v>45811</v>
      </c>
      <c r="C1032" s="4" t="str">
        <f t="shared" si="32"/>
        <v>Jun</v>
      </c>
      <c r="D1032" t="s">
        <v>1522</v>
      </c>
      <c r="E1032" t="s">
        <v>1524</v>
      </c>
      <c r="F1032" t="s">
        <v>1536</v>
      </c>
      <c r="G1032" t="s">
        <v>1549</v>
      </c>
      <c r="H1032" t="s">
        <v>4</v>
      </c>
      <c r="I1032">
        <v>2023</v>
      </c>
      <c r="J1032" t="s">
        <v>1554</v>
      </c>
      <c r="K1032" t="s">
        <v>1556</v>
      </c>
      <c r="L1032">
        <v>1288238</v>
      </c>
      <c r="M1032">
        <v>1158613</v>
      </c>
      <c r="N1032">
        <v>129625</v>
      </c>
      <c r="O1032">
        <v>28</v>
      </c>
      <c r="P1032" t="str">
        <f t="shared" si="33"/>
        <v>young</v>
      </c>
      <c r="Q1032" t="s">
        <v>1559</v>
      </c>
      <c r="R1032" t="s">
        <v>1561</v>
      </c>
      <c r="S1032" t="s">
        <v>1570</v>
      </c>
      <c r="T1032">
        <v>1630699</v>
      </c>
      <c r="U1032">
        <v>3</v>
      </c>
      <c r="V1032" t="s">
        <v>1584</v>
      </c>
      <c r="W1032" t="s">
        <v>1592</v>
      </c>
      <c r="X1032">
        <v>10.06</v>
      </c>
    </row>
    <row r="1033" spans="1:24" x14ac:dyDescent="0.25">
      <c r="A1033" t="s">
        <v>1053</v>
      </c>
      <c r="B1033" s="4">
        <v>46002</v>
      </c>
      <c r="C1033" s="4" t="str">
        <f t="shared" si="32"/>
        <v>Dec</v>
      </c>
      <c r="D1033" t="s">
        <v>1522</v>
      </c>
      <c r="E1033" t="s">
        <v>1527</v>
      </c>
      <c r="F1033" t="s">
        <v>1531</v>
      </c>
      <c r="G1033" t="s">
        <v>1542</v>
      </c>
      <c r="H1033" t="s">
        <v>1551</v>
      </c>
      <c r="I1033">
        <v>2023</v>
      </c>
      <c r="J1033" t="s">
        <v>1554</v>
      </c>
      <c r="K1033" t="s">
        <v>1557</v>
      </c>
      <c r="L1033">
        <v>856368</v>
      </c>
      <c r="M1033">
        <v>737692</v>
      </c>
      <c r="N1033">
        <v>118676</v>
      </c>
      <c r="O1033">
        <v>47</v>
      </c>
      <c r="P1033" t="str">
        <f t="shared" si="33"/>
        <v>adult</v>
      </c>
      <c r="Q1033" t="s">
        <v>1558</v>
      </c>
      <c r="R1033" t="s">
        <v>1564</v>
      </c>
      <c r="S1033" t="s">
        <v>1569</v>
      </c>
      <c r="T1033">
        <v>1945127</v>
      </c>
      <c r="U1033">
        <v>4</v>
      </c>
      <c r="V1033" t="s">
        <v>1575</v>
      </c>
      <c r="W1033" t="s">
        <v>1593</v>
      </c>
      <c r="X1033">
        <v>13.86</v>
      </c>
    </row>
    <row r="1034" spans="1:24" x14ac:dyDescent="0.25">
      <c r="A1034" t="s">
        <v>1054</v>
      </c>
      <c r="B1034" s="4">
        <v>45685</v>
      </c>
      <c r="C1034" s="4" t="str">
        <f t="shared" si="32"/>
        <v>Jan</v>
      </c>
      <c r="D1034" t="s">
        <v>1522</v>
      </c>
      <c r="E1034" t="s">
        <v>1526</v>
      </c>
      <c r="F1034" t="s">
        <v>1528</v>
      </c>
      <c r="G1034" t="s">
        <v>1542</v>
      </c>
      <c r="H1034" t="s">
        <v>4</v>
      </c>
      <c r="I1034">
        <v>2025</v>
      </c>
      <c r="J1034" t="s">
        <v>1554</v>
      </c>
      <c r="K1034" t="s">
        <v>1557</v>
      </c>
      <c r="L1034">
        <v>1393944</v>
      </c>
      <c r="M1034">
        <v>1298927</v>
      </c>
      <c r="N1034">
        <v>95017</v>
      </c>
      <c r="O1034">
        <v>22</v>
      </c>
      <c r="P1034" t="str">
        <f t="shared" si="33"/>
        <v>young</v>
      </c>
      <c r="Q1034" t="s">
        <v>1558</v>
      </c>
      <c r="R1034" t="s">
        <v>1565</v>
      </c>
      <c r="S1034" t="s">
        <v>1568</v>
      </c>
      <c r="T1034">
        <v>129911</v>
      </c>
      <c r="U1034">
        <v>1</v>
      </c>
      <c r="V1034" t="s">
        <v>1571</v>
      </c>
      <c r="W1034" t="s">
        <v>1591</v>
      </c>
      <c r="X1034">
        <v>6.82</v>
      </c>
    </row>
    <row r="1035" spans="1:24" x14ac:dyDescent="0.25">
      <c r="A1035" t="s">
        <v>1055</v>
      </c>
      <c r="B1035" s="4">
        <v>45860</v>
      </c>
      <c r="C1035" s="4" t="str">
        <f t="shared" si="32"/>
        <v>Jul</v>
      </c>
      <c r="D1035" t="s">
        <v>1522</v>
      </c>
      <c r="E1035" t="s">
        <v>1527</v>
      </c>
      <c r="F1035" t="s">
        <v>1536</v>
      </c>
      <c r="G1035" t="s">
        <v>1545</v>
      </c>
      <c r="H1035" t="s">
        <v>1550</v>
      </c>
      <c r="I1035">
        <v>2024</v>
      </c>
      <c r="J1035" t="s">
        <v>1554</v>
      </c>
      <c r="K1035" t="s">
        <v>1556</v>
      </c>
      <c r="L1035">
        <v>1416340</v>
      </c>
      <c r="M1035">
        <v>1209781</v>
      </c>
      <c r="N1035">
        <v>206559</v>
      </c>
      <c r="O1035">
        <v>63</v>
      </c>
      <c r="P1035" t="str">
        <f t="shared" si="33"/>
        <v>senior</v>
      </c>
      <c r="Q1035" t="s">
        <v>1558</v>
      </c>
      <c r="R1035" t="s">
        <v>1563</v>
      </c>
      <c r="S1035" t="s">
        <v>1567</v>
      </c>
      <c r="T1035">
        <v>1386180</v>
      </c>
      <c r="U1035">
        <v>1</v>
      </c>
      <c r="V1035" t="s">
        <v>1579</v>
      </c>
      <c r="W1035" t="s">
        <v>1594</v>
      </c>
      <c r="X1035">
        <v>14.58</v>
      </c>
    </row>
    <row r="1036" spans="1:24" x14ac:dyDescent="0.25">
      <c r="A1036" t="s">
        <v>1056</v>
      </c>
      <c r="B1036" s="4">
        <v>46059</v>
      </c>
      <c r="C1036" s="4" t="str">
        <f t="shared" si="32"/>
        <v>Feb</v>
      </c>
      <c r="D1036" t="s">
        <v>1522</v>
      </c>
      <c r="E1036" t="s">
        <v>1526</v>
      </c>
      <c r="F1036" t="s">
        <v>1532</v>
      </c>
      <c r="G1036" t="s">
        <v>1544</v>
      </c>
      <c r="H1036" t="s">
        <v>1550</v>
      </c>
      <c r="I1036">
        <v>2025</v>
      </c>
      <c r="J1036" t="s">
        <v>1554</v>
      </c>
      <c r="K1036" t="s">
        <v>1557</v>
      </c>
      <c r="L1036">
        <v>1347461</v>
      </c>
      <c r="M1036">
        <v>1180813</v>
      </c>
      <c r="N1036">
        <v>166648</v>
      </c>
      <c r="O1036">
        <v>49</v>
      </c>
      <c r="P1036" t="str">
        <f t="shared" si="33"/>
        <v>adult</v>
      </c>
      <c r="Q1036" t="s">
        <v>1558</v>
      </c>
      <c r="R1036" t="s">
        <v>1562</v>
      </c>
      <c r="S1036" t="s">
        <v>1567</v>
      </c>
      <c r="T1036">
        <v>797762</v>
      </c>
      <c r="U1036">
        <v>1</v>
      </c>
      <c r="V1036" t="s">
        <v>1589</v>
      </c>
      <c r="W1036" t="s">
        <v>1591</v>
      </c>
      <c r="X1036">
        <v>12.37</v>
      </c>
    </row>
    <row r="1037" spans="1:24" x14ac:dyDescent="0.25">
      <c r="A1037" t="s">
        <v>1057</v>
      </c>
      <c r="B1037" s="4">
        <v>45902</v>
      </c>
      <c r="C1037" s="4" t="str">
        <f t="shared" si="32"/>
        <v>Sep</v>
      </c>
      <c r="D1037" t="s">
        <v>1522</v>
      </c>
      <c r="E1037" t="s">
        <v>1527</v>
      </c>
      <c r="F1037" t="s">
        <v>1528</v>
      </c>
      <c r="G1037" t="s">
        <v>1544</v>
      </c>
      <c r="H1037" t="s">
        <v>1550</v>
      </c>
      <c r="I1037">
        <v>2025</v>
      </c>
      <c r="J1037" t="s">
        <v>1554</v>
      </c>
      <c r="K1037" t="s">
        <v>1556</v>
      </c>
      <c r="L1037">
        <v>1646509</v>
      </c>
      <c r="M1037">
        <v>1396430</v>
      </c>
      <c r="N1037">
        <v>250079</v>
      </c>
      <c r="O1037">
        <v>27</v>
      </c>
      <c r="P1037" t="str">
        <f t="shared" si="33"/>
        <v>young</v>
      </c>
      <c r="Q1037" t="s">
        <v>1558</v>
      </c>
      <c r="R1037" t="s">
        <v>1562</v>
      </c>
      <c r="S1037" t="s">
        <v>1568</v>
      </c>
      <c r="T1037">
        <v>480239</v>
      </c>
      <c r="U1037">
        <v>1</v>
      </c>
      <c r="V1037" t="s">
        <v>1577</v>
      </c>
      <c r="W1037" t="s">
        <v>1594</v>
      </c>
      <c r="X1037">
        <v>15.19</v>
      </c>
    </row>
    <row r="1038" spans="1:24" x14ac:dyDescent="0.25">
      <c r="A1038" t="s">
        <v>1058</v>
      </c>
      <c r="B1038" s="4">
        <v>46052</v>
      </c>
      <c r="C1038" s="4" t="str">
        <f t="shared" si="32"/>
        <v>Jan</v>
      </c>
      <c r="D1038" t="s">
        <v>1522</v>
      </c>
      <c r="E1038" t="s">
        <v>1527</v>
      </c>
      <c r="F1038" t="s">
        <v>1534</v>
      </c>
      <c r="G1038" t="s">
        <v>1547</v>
      </c>
      <c r="H1038" t="s">
        <v>4</v>
      </c>
      <c r="I1038">
        <v>2024</v>
      </c>
      <c r="J1038" t="s">
        <v>1554</v>
      </c>
      <c r="K1038" t="s">
        <v>1557</v>
      </c>
      <c r="L1038">
        <v>1323400</v>
      </c>
      <c r="M1038">
        <v>1120378</v>
      </c>
      <c r="N1038">
        <v>203022</v>
      </c>
      <c r="O1038">
        <v>41</v>
      </c>
      <c r="P1038" t="str">
        <f t="shared" si="33"/>
        <v>adult</v>
      </c>
      <c r="Q1038" t="s">
        <v>1559</v>
      </c>
      <c r="R1038" t="s">
        <v>1564</v>
      </c>
      <c r="S1038" t="s">
        <v>1567</v>
      </c>
      <c r="T1038">
        <v>1951101</v>
      </c>
      <c r="U1038">
        <v>4</v>
      </c>
      <c r="V1038" t="s">
        <v>1581</v>
      </c>
      <c r="W1038" t="s">
        <v>1591</v>
      </c>
      <c r="X1038">
        <v>15.34</v>
      </c>
    </row>
    <row r="1039" spans="1:24" x14ac:dyDescent="0.25">
      <c r="A1039" t="s">
        <v>1059</v>
      </c>
      <c r="B1039" s="4">
        <v>46251</v>
      </c>
      <c r="C1039" s="4" t="str">
        <f t="shared" si="32"/>
        <v>Aug</v>
      </c>
      <c r="D1039" t="s">
        <v>1522</v>
      </c>
      <c r="E1039" t="s">
        <v>1527</v>
      </c>
      <c r="F1039" t="s">
        <v>1531</v>
      </c>
      <c r="G1039" t="s">
        <v>1542</v>
      </c>
      <c r="H1039" t="s">
        <v>4</v>
      </c>
      <c r="I1039">
        <v>2026</v>
      </c>
      <c r="J1039" t="s">
        <v>1554</v>
      </c>
      <c r="K1039" t="s">
        <v>1556</v>
      </c>
      <c r="L1039">
        <v>1455776</v>
      </c>
      <c r="M1039">
        <v>1269421</v>
      </c>
      <c r="N1039">
        <v>186355</v>
      </c>
      <c r="O1039">
        <v>41</v>
      </c>
      <c r="P1039" t="str">
        <f t="shared" si="33"/>
        <v>adult</v>
      </c>
      <c r="Q1039" t="s">
        <v>1559</v>
      </c>
      <c r="R1039" t="s">
        <v>1565</v>
      </c>
      <c r="S1039" t="s">
        <v>1567</v>
      </c>
      <c r="T1039">
        <v>751756</v>
      </c>
      <c r="U1039">
        <v>5</v>
      </c>
      <c r="V1039" t="s">
        <v>1576</v>
      </c>
      <c r="W1039" t="s">
        <v>1594</v>
      </c>
      <c r="X1039">
        <v>12.8</v>
      </c>
    </row>
    <row r="1040" spans="1:24" x14ac:dyDescent="0.25">
      <c r="A1040" t="s">
        <v>1060</v>
      </c>
      <c r="B1040" s="4">
        <v>46150</v>
      </c>
      <c r="C1040" s="4" t="str">
        <f t="shared" si="32"/>
        <v>May</v>
      </c>
      <c r="D1040" t="s">
        <v>1522</v>
      </c>
      <c r="E1040" t="s">
        <v>1524</v>
      </c>
      <c r="F1040" t="s">
        <v>1533</v>
      </c>
      <c r="G1040" t="s">
        <v>1546</v>
      </c>
      <c r="H1040" t="s">
        <v>1550</v>
      </c>
      <c r="I1040">
        <v>2025</v>
      </c>
      <c r="J1040" t="s">
        <v>1554</v>
      </c>
      <c r="K1040" t="s">
        <v>1556</v>
      </c>
      <c r="L1040">
        <v>1244936</v>
      </c>
      <c r="M1040">
        <v>1181155</v>
      </c>
      <c r="N1040">
        <v>63781</v>
      </c>
      <c r="O1040">
        <v>38</v>
      </c>
      <c r="P1040" t="str">
        <f t="shared" si="33"/>
        <v>adult</v>
      </c>
      <c r="Q1040" t="s">
        <v>1558</v>
      </c>
      <c r="R1040" t="s">
        <v>1564</v>
      </c>
      <c r="S1040" t="s">
        <v>1569</v>
      </c>
      <c r="T1040">
        <v>1294301</v>
      </c>
      <c r="U1040">
        <v>4</v>
      </c>
      <c r="V1040" t="s">
        <v>1590</v>
      </c>
      <c r="W1040" t="s">
        <v>1592</v>
      </c>
      <c r="X1040">
        <v>5.12</v>
      </c>
    </row>
    <row r="1041" spans="1:24" x14ac:dyDescent="0.25">
      <c r="A1041" t="s">
        <v>1061</v>
      </c>
      <c r="B1041" s="4">
        <v>45763</v>
      </c>
      <c r="C1041" s="4" t="str">
        <f t="shared" si="32"/>
        <v>Apr</v>
      </c>
      <c r="D1041" t="s">
        <v>1522</v>
      </c>
      <c r="E1041" t="s">
        <v>1525</v>
      </c>
      <c r="F1041" t="s">
        <v>1532</v>
      </c>
      <c r="G1041" t="s">
        <v>1542</v>
      </c>
      <c r="H1041" t="s">
        <v>4</v>
      </c>
      <c r="I1041">
        <v>2026</v>
      </c>
      <c r="J1041" t="s">
        <v>1554</v>
      </c>
      <c r="K1041" t="s">
        <v>1557</v>
      </c>
      <c r="L1041">
        <v>1556009</v>
      </c>
      <c r="M1041">
        <v>1393181</v>
      </c>
      <c r="N1041">
        <v>162828</v>
      </c>
      <c r="O1041">
        <v>54</v>
      </c>
      <c r="P1041" t="str">
        <f t="shared" si="33"/>
        <v>senior</v>
      </c>
      <c r="Q1041" t="s">
        <v>1558</v>
      </c>
      <c r="R1041" t="s">
        <v>1565</v>
      </c>
      <c r="S1041" t="s">
        <v>1570</v>
      </c>
      <c r="T1041">
        <v>1642198</v>
      </c>
      <c r="U1041">
        <v>5</v>
      </c>
      <c r="V1041" t="s">
        <v>1573</v>
      </c>
      <c r="W1041" t="s">
        <v>1592</v>
      </c>
      <c r="X1041">
        <v>10.46</v>
      </c>
    </row>
    <row r="1042" spans="1:24" x14ac:dyDescent="0.25">
      <c r="A1042" t="s">
        <v>1062</v>
      </c>
      <c r="B1042" s="4">
        <v>46091</v>
      </c>
      <c r="C1042" s="4" t="str">
        <f t="shared" si="32"/>
        <v>Mar</v>
      </c>
      <c r="D1042" t="s">
        <v>1522</v>
      </c>
      <c r="E1042" t="s">
        <v>1527</v>
      </c>
      <c r="F1042" t="s">
        <v>1535</v>
      </c>
      <c r="G1042" t="s">
        <v>1548</v>
      </c>
      <c r="H1042" t="s">
        <v>1552</v>
      </c>
      <c r="I1042">
        <v>2025</v>
      </c>
      <c r="J1042" t="s">
        <v>1555</v>
      </c>
      <c r="K1042" t="s">
        <v>1556</v>
      </c>
      <c r="L1042">
        <v>2012074</v>
      </c>
      <c r="M1042">
        <v>1791237</v>
      </c>
      <c r="N1042">
        <v>220837</v>
      </c>
      <c r="O1042">
        <v>40</v>
      </c>
      <c r="P1042" t="str">
        <f t="shared" si="33"/>
        <v>adult</v>
      </c>
      <c r="Q1042" t="s">
        <v>1558</v>
      </c>
      <c r="R1042" t="s">
        <v>1566</v>
      </c>
      <c r="S1042" t="s">
        <v>1567</v>
      </c>
      <c r="T1042">
        <v>999463</v>
      </c>
      <c r="U1042">
        <v>5</v>
      </c>
      <c r="V1042" t="s">
        <v>1586</v>
      </c>
      <c r="W1042" t="s">
        <v>1591</v>
      </c>
      <c r="X1042">
        <v>10.98</v>
      </c>
    </row>
    <row r="1043" spans="1:24" x14ac:dyDescent="0.25">
      <c r="A1043" t="s">
        <v>1063</v>
      </c>
      <c r="B1043" s="4">
        <v>45747</v>
      </c>
      <c r="C1043" s="4" t="str">
        <f t="shared" si="32"/>
        <v>Mar</v>
      </c>
      <c r="D1043" t="s">
        <v>1522</v>
      </c>
      <c r="E1043" t="s">
        <v>1525</v>
      </c>
      <c r="F1043" t="s">
        <v>1528</v>
      </c>
      <c r="G1043" t="s">
        <v>1539</v>
      </c>
      <c r="H1043" t="s">
        <v>1551</v>
      </c>
      <c r="I1043">
        <v>2025</v>
      </c>
      <c r="J1043" t="s">
        <v>1554</v>
      </c>
      <c r="K1043" t="s">
        <v>1556</v>
      </c>
      <c r="L1043">
        <v>927883</v>
      </c>
      <c r="M1043">
        <v>825477</v>
      </c>
      <c r="N1043">
        <v>102406</v>
      </c>
      <c r="O1043">
        <v>47</v>
      </c>
      <c r="P1043" t="str">
        <f t="shared" si="33"/>
        <v>adult</v>
      </c>
      <c r="Q1043" t="s">
        <v>1559</v>
      </c>
      <c r="R1043" t="s">
        <v>1566</v>
      </c>
      <c r="S1043" t="s">
        <v>1567</v>
      </c>
      <c r="T1043">
        <v>1241346</v>
      </c>
      <c r="U1043">
        <v>1</v>
      </c>
      <c r="V1043" t="s">
        <v>1588</v>
      </c>
      <c r="W1043" t="s">
        <v>1591</v>
      </c>
      <c r="X1043">
        <v>11.04</v>
      </c>
    </row>
    <row r="1044" spans="1:24" x14ac:dyDescent="0.25">
      <c r="A1044" t="s">
        <v>1064</v>
      </c>
      <c r="B1044" s="4">
        <v>46114</v>
      </c>
      <c r="C1044" s="4" t="str">
        <f t="shared" si="32"/>
        <v>Apr</v>
      </c>
      <c r="D1044" t="s">
        <v>1522</v>
      </c>
      <c r="E1044" t="s">
        <v>1524</v>
      </c>
      <c r="F1044" t="s">
        <v>1536</v>
      </c>
      <c r="G1044" t="s">
        <v>1543</v>
      </c>
      <c r="H1044" t="s">
        <v>1551</v>
      </c>
      <c r="I1044">
        <v>2025</v>
      </c>
      <c r="J1044" t="s">
        <v>1554</v>
      </c>
      <c r="K1044" t="s">
        <v>1557</v>
      </c>
      <c r="L1044">
        <v>792624</v>
      </c>
      <c r="M1044">
        <v>703797</v>
      </c>
      <c r="N1044">
        <v>88827</v>
      </c>
      <c r="O1044">
        <v>64</v>
      </c>
      <c r="P1044" t="str">
        <f t="shared" si="33"/>
        <v>senior</v>
      </c>
      <c r="Q1044" t="s">
        <v>1558</v>
      </c>
      <c r="R1044" t="s">
        <v>1561</v>
      </c>
      <c r="S1044" t="s">
        <v>1567</v>
      </c>
      <c r="T1044">
        <v>886931</v>
      </c>
      <c r="U1044">
        <v>4</v>
      </c>
      <c r="V1044" t="s">
        <v>1580</v>
      </c>
      <c r="W1044" t="s">
        <v>1592</v>
      </c>
      <c r="X1044">
        <v>11.21</v>
      </c>
    </row>
    <row r="1045" spans="1:24" x14ac:dyDescent="0.25">
      <c r="A1045" t="s">
        <v>1065</v>
      </c>
      <c r="B1045" s="4">
        <v>45752</v>
      </c>
      <c r="C1045" s="4" t="str">
        <f t="shared" si="32"/>
        <v>Apr</v>
      </c>
      <c r="D1045" t="s">
        <v>1522</v>
      </c>
      <c r="E1045" t="s">
        <v>1524</v>
      </c>
      <c r="F1045" t="s">
        <v>1532</v>
      </c>
      <c r="G1045" t="s">
        <v>1540</v>
      </c>
      <c r="H1045" t="s">
        <v>1550</v>
      </c>
      <c r="I1045">
        <v>2026</v>
      </c>
      <c r="J1045" t="s">
        <v>1554</v>
      </c>
      <c r="K1045" t="s">
        <v>1557</v>
      </c>
      <c r="L1045">
        <v>1531490</v>
      </c>
      <c r="M1045">
        <v>1279968</v>
      </c>
      <c r="N1045">
        <v>251522</v>
      </c>
      <c r="O1045">
        <v>38</v>
      </c>
      <c r="P1045" t="str">
        <f t="shared" si="33"/>
        <v>adult</v>
      </c>
      <c r="Q1045" t="s">
        <v>1558</v>
      </c>
      <c r="R1045" t="s">
        <v>1564</v>
      </c>
      <c r="S1045" t="s">
        <v>1569</v>
      </c>
      <c r="T1045">
        <v>1908097</v>
      </c>
      <c r="U1045">
        <v>3</v>
      </c>
      <c r="V1045" t="s">
        <v>1573</v>
      </c>
      <c r="W1045" t="s">
        <v>1592</v>
      </c>
      <c r="X1045">
        <v>16.420000000000002</v>
      </c>
    </row>
    <row r="1046" spans="1:24" x14ac:dyDescent="0.25">
      <c r="A1046" t="s">
        <v>1066</v>
      </c>
      <c r="B1046" s="4">
        <v>46097</v>
      </c>
      <c r="C1046" s="4" t="str">
        <f t="shared" si="32"/>
        <v>Mar</v>
      </c>
      <c r="D1046" t="s">
        <v>1522</v>
      </c>
      <c r="E1046" t="s">
        <v>1525</v>
      </c>
      <c r="F1046" t="s">
        <v>1535</v>
      </c>
      <c r="G1046" t="s">
        <v>1548</v>
      </c>
      <c r="H1046" t="s">
        <v>1550</v>
      </c>
      <c r="I1046">
        <v>2025</v>
      </c>
      <c r="J1046" t="s">
        <v>1554</v>
      </c>
      <c r="K1046" t="s">
        <v>1557</v>
      </c>
      <c r="L1046">
        <v>1207319</v>
      </c>
      <c r="M1046">
        <v>1117363</v>
      </c>
      <c r="N1046">
        <v>89956</v>
      </c>
      <c r="O1046">
        <v>28</v>
      </c>
      <c r="P1046" t="str">
        <f t="shared" si="33"/>
        <v>young</v>
      </c>
      <c r="Q1046" t="s">
        <v>1559</v>
      </c>
      <c r="R1046" t="s">
        <v>1565</v>
      </c>
      <c r="S1046" t="s">
        <v>1570</v>
      </c>
      <c r="T1046">
        <v>1908464</v>
      </c>
      <c r="U1046">
        <v>3</v>
      </c>
      <c r="V1046" t="s">
        <v>1586</v>
      </c>
      <c r="W1046" t="s">
        <v>1591</v>
      </c>
      <c r="X1046">
        <v>7.45</v>
      </c>
    </row>
    <row r="1047" spans="1:24" x14ac:dyDescent="0.25">
      <c r="A1047" t="s">
        <v>1067</v>
      </c>
      <c r="B1047" s="4">
        <v>45882</v>
      </c>
      <c r="C1047" s="4" t="str">
        <f t="shared" si="32"/>
        <v>Aug</v>
      </c>
      <c r="D1047" t="s">
        <v>1522</v>
      </c>
      <c r="E1047" t="s">
        <v>1525</v>
      </c>
      <c r="F1047" t="s">
        <v>1535</v>
      </c>
      <c r="G1047" t="s">
        <v>1543</v>
      </c>
      <c r="H1047" t="s">
        <v>1551</v>
      </c>
      <c r="I1047">
        <v>2025</v>
      </c>
      <c r="J1047" t="s">
        <v>1554</v>
      </c>
      <c r="K1047" t="s">
        <v>1557</v>
      </c>
      <c r="L1047">
        <v>837285</v>
      </c>
      <c r="M1047">
        <v>736549</v>
      </c>
      <c r="N1047">
        <v>100736</v>
      </c>
      <c r="O1047">
        <v>56</v>
      </c>
      <c r="P1047" t="str">
        <f t="shared" si="33"/>
        <v>senior</v>
      </c>
      <c r="Q1047" t="s">
        <v>1558</v>
      </c>
      <c r="R1047" t="s">
        <v>1564</v>
      </c>
      <c r="S1047" t="s">
        <v>1567</v>
      </c>
      <c r="T1047">
        <v>831272</v>
      </c>
      <c r="U1047">
        <v>3</v>
      </c>
      <c r="V1047" t="s">
        <v>1585</v>
      </c>
      <c r="W1047" t="s">
        <v>1594</v>
      </c>
      <c r="X1047">
        <v>12.03</v>
      </c>
    </row>
    <row r="1048" spans="1:24" x14ac:dyDescent="0.25">
      <c r="A1048" t="s">
        <v>1068</v>
      </c>
      <c r="B1048" s="4">
        <v>46113</v>
      </c>
      <c r="C1048" s="4" t="str">
        <f t="shared" si="32"/>
        <v>Apr</v>
      </c>
      <c r="D1048" t="s">
        <v>1522</v>
      </c>
      <c r="E1048" t="s">
        <v>1525</v>
      </c>
      <c r="F1048" t="s">
        <v>1535</v>
      </c>
      <c r="G1048" t="s">
        <v>1538</v>
      </c>
      <c r="H1048" t="s">
        <v>1551</v>
      </c>
      <c r="I1048">
        <v>2022</v>
      </c>
      <c r="J1048" t="s">
        <v>1554</v>
      </c>
      <c r="K1048" t="s">
        <v>1556</v>
      </c>
      <c r="L1048">
        <v>803853</v>
      </c>
      <c r="M1048">
        <v>755446</v>
      </c>
      <c r="N1048">
        <v>48407</v>
      </c>
      <c r="O1048">
        <v>55</v>
      </c>
      <c r="P1048" t="str">
        <f t="shared" si="33"/>
        <v>senior</v>
      </c>
      <c r="Q1048" t="s">
        <v>1559</v>
      </c>
      <c r="R1048" t="s">
        <v>1564</v>
      </c>
      <c r="S1048" t="s">
        <v>1567</v>
      </c>
      <c r="T1048">
        <v>408487</v>
      </c>
      <c r="U1048">
        <v>1</v>
      </c>
      <c r="V1048" t="s">
        <v>1580</v>
      </c>
      <c r="W1048" t="s">
        <v>1592</v>
      </c>
      <c r="X1048">
        <v>6.02</v>
      </c>
    </row>
    <row r="1049" spans="1:24" x14ac:dyDescent="0.25">
      <c r="A1049" t="s">
        <v>1069</v>
      </c>
      <c r="B1049" s="4">
        <v>45975</v>
      </c>
      <c r="C1049" s="4" t="str">
        <f t="shared" si="32"/>
        <v>Nov</v>
      </c>
      <c r="D1049" t="s">
        <v>1522</v>
      </c>
      <c r="E1049" t="s">
        <v>1525</v>
      </c>
      <c r="F1049" t="s">
        <v>1529</v>
      </c>
      <c r="G1049" t="s">
        <v>1539</v>
      </c>
      <c r="H1049" t="s">
        <v>4</v>
      </c>
      <c r="I1049">
        <v>2024</v>
      </c>
      <c r="J1049" t="s">
        <v>1554</v>
      </c>
      <c r="K1049" t="s">
        <v>1556</v>
      </c>
      <c r="L1049">
        <v>1422223</v>
      </c>
      <c r="M1049">
        <v>1279988</v>
      </c>
      <c r="N1049">
        <v>142235</v>
      </c>
      <c r="O1049">
        <v>30</v>
      </c>
      <c r="P1049" t="str">
        <f t="shared" si="33"/>
        <v>young</v>
      </c>
      <c r="Q1049" t="s">
        <v>1558</v>
      </c>
      <c r="R1049" t="s">
        <v>1562</v>
      </c>
      <c r="S1049" t="s">
        <v>1567</v>
      </c>
      <c r="T1049">
        <v>104582</v>
      </c>
      <c r="U1049">
        <v>2</v>
      </c>
      <c r="V1049" t="s">
        <v>1583</v>
      </c>
      <c r="W1049" t="s">
        <v>1593</v>
      </c>
      <c r="X1049">
        <v>10</v>
      </c>
    </row>
    <row r="1050" spans="1:24" x14ac:dyDescent="0.25">
      <c r="A1050" t="s">
        <v>1070</v>
      </c>
      <c r="B1050" s="4">
        <v>45865</v>
      </c>
      <c r="C1050" s="4" t="str">
        <f t="shared" si="32"/>
        <v>Jul</v>
      </c>
      <c r="D1050" t="s">
        <v>1522</v>
      </c>
      <c r="E1050" t="s">
        <v>1526</v>
      </c>
      <c r="F1050" t="s">
        <v>1530</v>
      </c>
      <c r="G1050" t="s">
        <v>1541</v>
      </c>
      <c r="H1050" t="s">
        <v>1552</v>
      </c>
      <c r="I1050">
        <v>2025</v>
      </c>
      <c r="J1050" t="s">
        <v>1555</v>
      </c>
      <c r="K1050" t="s">
        <v>1556</v>
      </c>
      <c r="L1050">
        <v>1802823</v>
      </c>
      <c r="M1050">
        <v>1505079</v>
      </c>
      <c r="N1050">
        <v>297744</v>
      </c>
      <c r="O1050">
        <v>47</v>
      </c>
      <c r="P1050" t="str">
        <f t="shared" si="33"/>
        <v>adult</v>
      </c>
      <c r="Q1050" t="s">
        <v>1559</v>
      </c>
      <c r="R1050" t="s">
        <v>1566</v>
      </c>
      <c r="S1050" t="s">
        <v>1570</v>
      </c>
      <c r="T1050">
        <v>829096</v>
      </c>
      <c r="U1050">
        <v>5</v>
      </c>
      <c r="V1050" t="s">
        <v>1579</v>
      </c>
      <c r="W1050" t="s">
        <v>1594</v>
      </c>
      <c r="X1050">
        <v>16.52</v>
      </c>
    </row>
    <row r="1051" spans="1:24" x14ac:dyDescent="0.25">
      <c r="A1051" t="s">
        <v>1071</v>
      </c>
      <c r="B1051" s="4">
        <v>46007</v>
      </c>
      <c r="C1051" s="4" t="str">
        <f t="shared" si="32"/>
        <v>Dec</v>
      </c>
      <c r="D1051" t="s">
        <v>1522</v>
      </c>
      <c r="E1051" t="s">
        <v>1525</v>
      </c>
      <c r="F1051" t="s">
        <v>1535</v>
      </c>
      <c r="G1051" t="s">
        <v>1548</v>
      </c>
      <c r="H1051" t="s">
        <v>1550</v>
      </c>
      <c r="I1051">
        <v>2022</v>
      </c>
      <c r="J1051" t="s">
        <v>1554</v>
      </c>
      <c r="K1051" t="s">
        <v>1556</v>
      </c>
      <c r="L1051">
        <v>1585686</v>
      </c>
      <c r="M1051">
        <v>1340061</v>
      </c>
      <c r="N1051">
        <v>245625</v>
      </c>
      <c r="O1051">
        <v>28</v>
      </c>
      <c r="P1051" t="str">
        <f t="shared" si="33"/>
        <v>young</v>
      </c>
      <c r="Q1051" t="s">
        <v>1559</v>
      </c>
      <c r="R1051" t="s">
        <v>1561</v>
      </c>
      <c r="S1051" t="s">
        <v>1570</v>
      </c>
      <c r="T1051">
        <v>1710297</v>
      </c>
      <c r="U1051">
        <v>1</v>
      </c>
      <c r="V1051" t="s">
        <v>1575</v>
      </c>
      <c r="W1051" t="s">
        <v>1593</v>
      </c>
      <c r="X1051">
        <v>15.49</v>
      </c>
    </row>
    <row r="1052" spans="1:24" x14ac:dyDescent="0.25">
      <c r="A1052" t="s">
        <v>1072</v>
      </c>
      <c r="B1052" s="4">
        <v>46256</v>
      </c>
      <c r="C1052" s="4" t="str">
        <f t="shared" si="32"/>
        <v>Aug</v>
      </c>
      <c r="D1052" t="s">
        <v>1522</v>
      </c>
      <c r="E1052" t="s">
        <v>1526</v>
      </c>
      <c r="F1052" t="s">
        <v>1534</v>
      </c>
      <c r="G1052" t="s">
        <v>1544</v>
      </c>
      <c r="H1052" t="s">
        <v>4</v>
      </c>
      <c r="I1052">
        <v>2025</v>
      </c>
      <c r="J1052" t="s">
        <v>1554</v>
      </c>
      <c r="K1052" t="s">
        <v>1556</v>
      </c>
      <c r="L1052">
        <v>1478181</v>
      </c>
      <c r="M1052">
        <v>1335556</v>
      </c>
      <c r="N1052">
        <v>142625</v>
      </c>
      <c r="O1052">
        <v>41</v>
      </c>
      <c r="P1052" t="str">
        <f t="shared" si="33"/>
        <v>adult</v>
      </c>
      <c r="Q1052" t="s">
        <v>1558</v>
      </c>
      <c r="R1052" t="s">
        <v>1566</v>
      </c>
      <c r="S1052" t="s">
        <v>1567</v>
      </c>
      <c r="T1052">
        <v>656267</v>
      </c>
      <c r="U1052">
        <v>5</v>
      </c>
      <c r="V1052" t="s">
        <v>1576</v>
      </c>
      <c r="W1052" t="s">
        <v>1594</v>
      </c>
      <c r="X1052">
        <v>9.65</v>
      </c>
    </row>
    <row r="1053" spans="1:24" x14ac:dyDescent="0.25">
      <c r="A1053" t="s">
        <v>1073</v>
      </c>
      <c r="B1053" s="4">
        <v>45717</v>
      </c>
      <c r="C1053" s="4" t="str">
        <f t="shared" si="32"/>
        <v>Mar</v>
      </c>
      <c r="D1053" t="s">
        <v>1522</v>
      </c>
      <c r="E1053" t="s">
        <v>1524</v>
      </c>
      <c r="F1053" t="s">
        <v>1537</v>
      </c>
      <c r="G1053" t="s">
        <v>1546</v>
      </c>
      <c r="H1053" t="s">
        <v>4</v>
      </c>
      <c r="I1053">
        <v>2025</v>
      </c>
      <c r="J1053" t="s">
        <v>1554</v>
      </c>
      <c r="K1053" t="s">
        <v>1556</v>
      </c>
      <c r="L1053">
        <v>1665386</v>
      </c>
      <c r="M1053">
        <v>1545516</v>
      </c>
      <c r="N1053">
        <v>119870</v>
      </c>
      <c r="O1053">
        <v>65</v>
      </c>
      <c r="P1053" t="str">
        <f t="shared" si="33"/>
        <v>senior</v>
      </c>
      <c r="Q1053" t="s">
        <v>1558</v>
      </c>
      <c r="R1053" t="s">
        <v>1561</v>
      </c>
      <c r="S1053" t="s">
        <v>1570</v>
      </c>
      <c r="T1053">
        <v>1750103</v>
      </c>
      <c r="U1053">
        <v>2</v>
      </c>
      <c r="V1053" t="s">
        <v>1588</v>
      </c>
      <c r="W1053" t="s">
        <v>1591</v>
      </c>
      <c r="X1053">
        <v>7.2</v>
      </c>
    </row>
    <row r="1054" spans="1:24" x14ac:dyDescent="0.25">
      <c r="A1054" t="s">
        <v>1074</v>
      </c>
      <c r="B1054" s="4">
        <v>46016</v>
      </c>
      <c r="C1054" s="4" t="str">
        <f t="shared" si="32"/>
        <v>Dec</v>
      </c>
      <c r="D1054" t="s">
        <v>1522</v>
      </c>
      <c r="E1054" t="s">
        <v>1527</v>
      </c>
      <c r="F1054" t="s">
        <v>1529</v>
      </c>
      <c r="G1054" t="s">
        <v>1540</v>
      </c>
      <c r="H1054" t="s">
        <v>1550</v>
      </c>
      <c r="I1054">
        <v>2024</v>
      </c>
      <c r="J1054" t="s">
        <v>1554</v>
      </c>
      <c r="K1054" t="s">
        <v>1556</v>
      </c>
      <c r="L1054">
        <v>1428776</v>
      </c>
      <c r="M1054">
        <v>1341262</v>
      </c>
      <c r="N1054">
        <v>87514</v>
      </c>
      <c r="O1054">
        <v>61</v>
      </c>
      <c r="P1054" t="str">
        <f t="shared" si="33"/>
        <v>senior</v>
      </c>
      <c r="Q1054" t="s">
        <v>1559</v>
      </c>
      <c r="R1054" t="s">
        <v>1563</v>
      </c>
      <c r="S1054" t="s">
        <v>1569</v>
      </c>
      <c r="T1054">
        <v>1763146</v>
      </c>
      <c r="U1054">
        <v>4</v>
      </c>
      <c r="V1054" t="s">
        <v>1575</v>
      </c>
      <c r="W1054" t="s">
        <v>1593</v>
      </c>
      <c r="X1054">
        <v>6.13</v>
      </c>
    </row>
    <row r="1055" spans="1:24" x14ac:dyDescent="0.25">
      <c r="A1055" t="s">
        <v>1075</v>
      </c>
      <c r="B1055" s="4">
        <v>45966</v>
      </c>
      <c r="C1055" s="4" t="str">
        <f t="shared" si="32"/>
        <v>Nov</v>
      </c>
      <c r="D1055" t="s">
        <v>1522</v>
      </c>
      <c r="E1055" t="s">
        <v>1525</v>
      </c>
      <c r="F1055" t="s">
        <v>1535</v>
      </c>
      <c r="G1055" t="s">
        <v>1549</v>
      </c>
      <c r="H1055" t="s">
        <v>1551</v>
      </c>
      <c r="I1055">
        <v>2024</v>
      </c>
      <c r="J1055" t="s">
        <v>1554</v>
      </c>
      <c r="K1055" t="s">
        <v>1557</v>
      </c>
      <c r="L1055">
        <v>919725</v>
      </c>
      <c r="M1055">
        <v>865354</v>
      </c>
      <c r="N1055">
        <v>54371</v>
      </c>
      <c r="O1055">
        <v>58</v>
      </c>
      <c r="P1055" t="str">
        <f t="shared" si="33"/>
        <v>senior</v>
      </c>
      <c r="Q1055" t="s">
        <v>1558</v>
      </c>
      <c r="R1055" t="s">
        <v>1561</v>
      </c>
      <c r="S1055" t="s">
        <v>1567</v>
      </c>
      <c r="T1055">
        <v>1596519</v>
      </c>
      <c r="U1055">
        <v>4</v>
      </c>
      <c r="V1055" t="s">
        <v>1583</v>
      </c>
      <c r="W1055" t="s">
        <v>1593</v>
      </c>
      <c r="X1055">
        <v>5.91</v>
      </c>
    </row>
    <row r="1056" spans="1:24" x14ac:dyDescent="0.25">
      <c r="A1056" t="s">
        <v>1076</v>
      </c>
      <c r="B1056" s="4">
        <v>45754</v>
      </c>
      <c r="C1056" s="4" t="str">
        <f t="shared" si="32"/>
        <v>Apr</v>
      </c>
      <c r="D1056" t="s">
        <v>1522</v>
      </c>
      <c r="E1056" t="s">
        <v>1523</v>
      </c>
      <c r="F1056" t="s">
        <v>1528</v>
      </c>
      <c r="G1056" t="s">
        <v>1547</v>
      </c>
      <c r="H1056" t="s">
        <v>4</v>
      </c>
      <c r="I1056">
        <v>2025</v>
      </c>
      <c r="J1056" t="s">
        <v>1554</v>
      </c>
      <c r="K1056" t="s">
        <v>1556</v>
      </c>
      <c r="L1056">
        <v>1617527</v>
      </c>
      <c r="M1056">
        <v>1407316</v>
      </c>
      <c r="N1056">
        <v>210211</v>
      </c>
      <c r="O1056">
        <v>53</v>
      </c>
      <c r="P1056" t="str">
        <f t="shared" si="33"/>
        <v>senior</v>
      </c>
      <c r="Q1056" t="s">
        <v>1558</v>
      </c>
      <c r="R1056" t="s">
        <v>1562</v>
      </c>
      <c r="S1056" t="s">
        <v>1569</v>
      </c>
      <c r="T1056">
        <v>2130437</v>
      </c>
      <c r="U1056">
        <v>4</v>
      </c>
      <c r="V1056" t="s">
        <v>1573</v>
      </c>
      <c r="W1056" t="s">
        <v>1592</v>
      </c>
      <c r="X1056">
        <v>13</v>
      </c>
    </row>
    <row r="1057" spans="1:24" x14ac:dyDescent="0.25">
      <c r="A1057" t="s">
        <v>1077</v>
      </c>
      <c r="B1057" s="4">
        <v>46155</v>
      </c>
      <c r="C1057" s="4" t="str">
        <f t="shared" si="32"/>
        <v>May</v>
      </c>
      <c r="D1057" t="s">
        <v>1522</v>
      </c>
      <c r="E1057" t="s">
        <v>1526</v>
      </c>
      <c r="F1057" t="s">
        <v>1528</v>
      </c>
      <c r="G1057" t="s">
        <v>1540</v>
      </c>
      <c r="H1057" t="s">
        <v>4</v>
      </c>
      <c r="I1057">
        <v>2023</v>
      </c>
      <c r="J1057" t="s">
        <v>1554</v>
      </c>
      <c r="K1057" t="s">
        <v>1557</v>
      </c>
      <c r="L1057">
        <v>1552371</v>
      </c>
      <c r="M1057">
        <v>1339756</v>
      </c>
      <c r="N1057">
        <v>212615</v>
      </c>
      <c r="O1057">
        <v>65</v>
      </c>
      <c r="P1057" t="str">
        <f t="shared" si="33"/>
        <v>senior</v>
      </c>
      <c r="Q1057" t="s">
        <v>1558</v>
      </c>
      <c r="R1057" t="s">
        <v>1562</v>
      </c>
      <c r="S1057" t="s">
        <v>1569</v>
      </c>
      <c r="T1057">
        <v>1572046</v>
      </c>
      <c r="U1057">
        <v>1</v>
      </c>
      <c r="V1057" t="s">
        <v>1590</v>
      </c>
      <c r="W1057" t="s">
        <v>1592</v>
      </c>
      <c r="X1057">
        <v>13.7</v>
      </c>
    </row>
    <row r="1058" spans="1:24" x14ac:dyDescent="0.25">
      <c r="A1058" t="s">
        <v>1078</v>
      </c>
      <c r="B1058" s="4">
        <v>46188</v>
      </c>
      <c r="C1058" s="4" t="str">
        <f t="shared" si="32"/>
        <v>Jun</v>
      </c>
      <c r="D1058" t="s">
        <v>1522</v>
      </c>
      <c r="E1058" t="s">
        <v>1524</v>
      </c>
      <c r="F1058" t="s">
        <v>1530</v>
      </c>
      <c r="G1058" t="s">
        <v>1545</v>
      </c>
      <c r="H1058" t="s">
        <v>1550</v>
      </c>
      <c r="I1058">
        <v>2022</v>
      </c>
      <c r="J1058" t="s">
        <v>1554</v>
      </c>
      <c r="K1058" t="s">
        <v>1556</v>
      </c>
      <c r="L1058">
        <v>1187278</v>
      </c>
      <c r="M1058">
        <v>1011507</v>
      </c>
      <c r="N1058">
        <v>175771</v>
      </c>
      <c r="O1058">
        <v>41</v>
      </c>
      <c r="P1058" t="str">
        <f t="shared" si="33"/>
        <v>adult</v>
      </c>
      <c r="Q1058" t="s">
        <v>1558</v>
      </c>
      <c r="R1058" t="s">
        <v>1564</v>
      </c>
      <c r="S1058" t="s">
        <v>1568</v>
      </c>
      <c r="T1058">
        <v>1649725</v>
      </c>
      <c r="U1058">
        <v>4</v>
      </c>
      <c r="V1058" t="s">
        <v>1582</v>
      </c>
      <c r="W1058" t="s">
        <v>1592</v>
      </c>
      <c r="X1058">
        <v>14.8</v>
      </c>
    </row>
    <row r="1059" spans="1:24" x14ac:dyDescent="0.25">
      <c r="A1059" t="s">
        <v>1079</v>
      </c>
      <c r="B1059" s="4">
        <v>46156</v>
      </c>
      <c r="C1059" s="4" t="str">
        <f t="shared" si="32"/>
        <v>May</v>
      </c>
      <c r="D1059" t="s">
        <v>1522</v>
      </c>
      <c r="E1059" t="s">
        <v>1527</v>
      </c>
      <c r="F1059" t="s">
        <v>1532</v>
      </c>
      <c r="G1059" t="s">
        <v>1543</v>
      </c>
      <c r="H1059" t="s">
        <v>1550</v>
      </c>
      <c r="I1059">
        <v>2026</v>
      </c>
      <c r="J1059" t="s">
        <v>1554</v>
      </c>
      <c r="K1059" t="s">
        <v>1556</v>
      </c>
      <c r="L1059">
        <v>1524855</v>
      </c>
      <c r="M1059">
        <v>1270189</v>
      </c>
      <c r="N1059">
        <v>254666</v>
      </c>
      <c r="O1059">
        <v>62</v>
      </c>
      <c r="P1059" t="str">
        <f t="shared" si="33"/>
        <v>senior</v>
      </c>
      <c r="Q1059" t="s">
        <v>1559</v>
      </c>
      <c r="R1059" t="s">
        <v>1565</v>
      </c>
      <c r="S1059" t="s">
        <v>1570</v>
      </c>
      <c r="T1059">
        <v>719184</v>
      </c>
      <c r="U1059">
        <v>3</v>
      </c>
      <c r="V1059" t="s">
        <v>1590</v>
      </c>
      <c r="W1059" t="s">
        <v>1592</v>
      </c>
      <c r="X1059">
        <v>16.7</v>
      </c>
    </row>
    <row r="1060" spans="1:24" x14ac:dyDescent="0.25">
      <c r="A1060" t="s">
        <v>1080</v>
      </c>
      <c r="B1060" s="4">
        <v>46226</v>
      </c>
      <c r="C1060" s="4" t="str">
        <f t="shared" si="32"/>
        <v>Jul</v>
      </c>
      <c r="D1060" t="s">
        <v>1522</v>
      </c>
      <c r="E1060" t="s">
        <v>1525</v>
      </c>
      <c r="F1060" t="s">
        <v>1533</v>
      </c>
      <c r="G1060" t="s">
        <v>1540</v>
      </c>
      <c r="H1060" t="s">
        <v>4</v>
      </c>
      <c r="I1060">
        <v>2025</v>
      </c>
      <c r="J1060" t="s">
        <v>1554</v>
      </c>
      <c r="K1060" t="s">
        <v>1557</v>
      </c>
      <c r="L1060">
        <v>1332477</v>
      </c>
      <c r="M1060">
        <v>1201111</v>
      </c>
      <c r="N1060">
        <v>131366</v>
      </c>
      <c r="O1060">
        <v>50</v>
      </c>
      <c r="P1060" t="str">
        <f t="shared" si="33"/>
        <v>adult</v>
      </c>
      <c r="Q1060" t="s">
        <v>1558</v>
      </c>
      <c r="R1060" t="s">
        <v>1562</v>
      </c>
      <c r="S1060" t="s">
        <v>1570</v>
      </c>
      <c r="T1060">
        <v>1145674</v>
      </c>
      <c r="U1060">
        <v>1</v>
      </c>
      <c r="V1060" t="s">
        <v>1587</v>
      </c>
      <c r="W1060" t="s">
        <v>1594</v>
      </c>
      <c r="X1060">
        <v>9.86</v>
      </c>
    </row>
    <row r="1061" spans="1:24" x14ac:dyDescent="0.25">
      <c r="A1061" t="s">
        <v>1081</v>
      </c>
      <c r="B1061" s="4">
        <v>45690</v>
      </c>
      <c r="C1061" s="4" t="str">
        <f t="shared" si="32"/>
        <v>Feb</v>
      </c>
      <c r="D1061" t="s">
        <v>1522</v>
      </c>
      <c r="E1061" t="s">
        <v>1523</v>
      </c>
      <c r="F1061" t="s">
        <v>1530</v>
      </c>
      <c r="G1061" t="s">
        <v>1543</v>
      </c>
      <c r="H1061" t="s">
        <v>1551</v>
      </c>
      <c r="I1061">
        <v>2025</v>
      </c>
      <c r="J1061" t="s">
        <v>1554</v>
      </c>
      <c r="K1061" t="s">
        <v>1556</v>
      </c>
      <c r="L1061">
        <v>843521</v>
      </c>
      <c r="M1061">
        <v>828521</v>
      </c>
      <c r="N1061">
        <v>15000</v>
      </c>
      <c r="O1061">
        <v>41</v>
      </c>
      <c r="P1061" t="str">
        <f t="shared" si="33"/>
        <v>adult</v>
      </c>
      <c r="Q1061" t="s">
        <v>1559</v>
      </c>
      <c r="R1061" t="s">
        <v>1566</v>
      </c>
      <c r="S1061" t="s">
        <v>1567</v>
      </c>
      <c r="T1061">
        <v>21572</v>
      </c>
      <c r="U1061">
        <v>1</v>
      </c>
      <c r="V1061" t="s">
        <v>1578</v>
      </c>
      <c r="W1061" t="s">
        <v>1591</v>
      </c>
      <c r="X1061">
        <v>1.78</v>
      </c>
    </row>
    <row r="1062" spans="1:24" x14ac:dyDescent="0.25">
      <c r="A1062" t="s">
        <v>1082</v>
      </c>
      <c r="B1062" s="4">
        <v>45916</v>
      </c>
      <c r="C1062" s="4" t="str">
        <f t="shared" si="32"/>
        <v>Sep</v>
      </c>
      <c r="D1062" t="s">
        <v>1522</v>
      </c>
      <c r="E1062" t="s">
        <v>1527</v>
      </c>
      <c r="F1062" t="s">
        <v>1537</v>
      </c>
      <c r="G1062" t="s">
        <v>1541</v>
      </c>
      <c r="H1062" t="s">
        <v>1550</v>
      </c>
      <c r="I1062">
        <v>2025</v>
      </c>
      <c r="J1062" t="s">
        <v>1554</v>
      </c>
      <c r="K1062" t="s">
        <v>1557</v>
      </c>
      <c r="L1062">
        <v>1586423</v>
      </c>
      <c r="M1062">
        <v>1419143</v>
      </c>
      <c r="N1062">
        <v>167280</v>
      </c>
      <c r="O1062">
        <v>58</v>
      </c>
      <c r="P1062" t="str">
        <f t="shared" si="33"/>
        <v>senior</v>
      </c>
      <c r="Q1062" t="s">
        <v>1558</v>
      </c>
      <c r="R1062" t="s">
        <v>1565</v>
      </c>
      <c r="S1062" t="s">
        <v>1567</v>
      </c>
      <c r="T1062">
        <v>1304294</v>
      </c>
      <c r="U1062">
        <v>4</v>
      </c>
      <c r="V1062" t="s">
        <v>1577</v>
      </c>
      <c r="W1062" t="s">
        <v>1594</v>
      </c>
      <c r="X1062">
        <v>10.54</v>
      </c>
    </row>
    <row r="1063" spans="1:24" x14ac:dyDescent="0.25">
      <c r="A1063" t="s">
        <v>1083</v>
      </c>
      <c r="B1063" s="4">
        <v>46144</v>
      </c>
      <c r="C1063" s="4" t="str">
        <f t="shared" si="32"/>
        <v>May</v>
      </c>
      <c r="D1063" t="s">
        <v>1522</v>
      </c>
      <c r="E1063" t="s">
        <v>1524</v>
      </c>
      <c r="F1063" t="s">
        <v>1537</v>
      </c>
      <c r="G1063" t="s">
        <v>1539</v>
      </c>
      <c r="H1063" t="s">
        <v>1550</v>
      </c>
      <c r="I1063">
        <v>2024</v>
      </c>
      <c r="J1063" t="s">
        <v>1554</v>
      </c>
      <c r="K1063" t="s">
        <v>1556</v>
      </c>
      <c r="L1063">
        <v>1353169</v>
      </c>
      <c r="M1063">
        <v>1197277</v>
      </c>
      <c r="N1063">
        <v>155892</v>
      </c>
      <c r="O1063">
        <v>58</v>
      </c>
      <c r="P1063" t="str">
        <f t="shared" si="33"/>
        <v>senior</v>
      </c>
      <c r="Q1063" t="s">
        <v>1558</v>
      </c>
      <c r="R1063" t="s">
        <v>1565</v>
      </c>
      <c r="S1063" t="s">
        <v>1567</v>
      </c>
      <c r="T1063">
        <v>414033</v>
      </c>
      <c r="U1063">
        <v>5</v>
      </c>
      <c r="V1063" t="s">
        <v>1590</v>
      </c>
      <c r="W1063" t="s">
        <v>1592</v>
      </c>
      <c r="X1063">
        <v>11.52</v>
      </c>
    </row>
    <row r="1064" spans="1:24" x14ac:dyDescent="0.25">
      <c r="A1064" t="s">
        <v>1084</v>
      </c>
      <c r="B1064" s="4">
        <v>46093</v>
      </c>
      <c r="C1064" s="4" t="str">
        <f t="shared" si="32"/>
        <v>Mar</v>
      </c>
      <c r="D1064" t="s">
        <v>1522</v>
      </c>
      <c r="E1064" t="s">
        <v>1523</v>
      </c>
      <c r="F1064" t="s">
        <v>1535</v>
      </c>
      <c r="G1064" t="s">
        <v>1549</v>
      </c>
      <c r="H1064" t="s">
        <v>1550</v>
      </c>
      <c r="I1064">
        <v>2025</v>
      </c>
      <c r="J1064" t="s">
        <v>1554</v>
      </c>
      <c r="K1064" t="s">
        <v>1556</v>
      </c>
      <c r="L1064">
        <v>1651635</v>
      </c>
      <c r="M1064">
        <v>1388843</v>
      </c>
      <c r="N1064">
        <v>262792</v>
      </c>
      <c r="O1064">
        <v>62</v>
      </c>
      <c r="P1064" t="str">
        <f t="shared" si="33"/>
        <v>senior</v>
      </c>
      <c r="Q1064" t="s">
        <v>1558</v>
      </c>
      <c r="R1064" t="s">
        <v>1565</v>
      </c>
      <c r="S1064" t="s">
        <v>1567</v>
      </c>
      <c r="T1064">
        <v>1486111</v>
      </c>
      <c r="U1064">
        <v>4</v>
      </c>
      <c r="V1064" t="s">
        <v>1586</v>
      </c>
      <c r="W1064" t="s">
        <v>1591</v>
      </c>
      <c r="X1064">
        <v>15.91</v>
      </c>
    </row>
    <row r="1065" spans="1:24" x14ac:dyDescent="0.25">
      <c r="A1065" t="s">
        <v>1085</v>
      </c>
      <c r="B1065" s="4">
        <v>46024</v>
      </c>
      <c r="C1065" s="4" t="str">
        <f t="shared" si="32"/>
        <v>Jan</v>
      </c>
      <c r="D1065" t="s">
        <v>1522</v>
      </c>
      <c r="E1065" t="s">
        <v>1523</v>
      </c>
      <c r="F1065" t="s">
        <v>1530</v>
      </c>
      <c r="G1065" t="s">
        <v>1543</v>
      </c>
      <c r="H1065" t="s">
        <v>1550</v>
      </c>
      <c r="I1065">
        <v>2025</v>
      </c>
      <c r="J1065" t="s">
        <v>1554</v>
      </c>
      <c r="K1065" t="s">
        <v>1557</v>
      </c>
      <c r="L1065">
        <v>1293578</v>
      </c>
      <c r="M1065">
        <v>1177192</v>
      </c>
      <c r="N1065">
        <v>116386</v>
      </c>
      <c r="O1065">
        <v>58</v>
      </c>
      <c r="P1065" t="str">
        <f t="shared" si="33"/>
        <v>senior</v>
      </c>
      <c r="Q1065" t="s">
        <v>1558</v>
      </c>
      <c r="R1065" t="s">
        <v>1564</v>
      </c>
      <c r="S1065" t="s">
        <v>1567</v>
      </c>
      <c r="T1065">
        <v>451416</v>
      </c>
      <c r="U1065">
        <v>3</v>
      </c>
      <c r="V1065" t="s">
        <v>1581</v>
      </c>
      <c r="W1065" t="s">
        <v>1591</v>
      </c>
      <c r="X1065">
        <v>9</v>
      </c>
    </row>
    <row r="1066" spans="1:24" x14ac:dyDescent="0.25">
      <c r="A1066" t="s">
        <v>1086</v>
      </c>
      <c r="B1066" s="4">
        <v>45792</v>
      </c>
      <c r="C1066" s="4" t="str">
        <f t="shared" si="32"/>
        <v>May</v>
      </c>
      <c r="D1066" t="s">
        <v>1522</v>
      </c>
      <c r="E1066" t="s">
        <v>1524</v>
      </c>
      <c r="F1066" t="s">
        <v>1532</v>
      </c>
      <c r="G1066" t="s">
        <v>1549</v>
      </c>
      <c r="H1066" t="s">
        <v>1550</v>
      </c>
      <c r="I1066">
        <v>2024</v>
      </c>
      <c r="J1066" t="s">
        <v>1554</v>
      </c>
      <c r="K1066" t="s">
        <v>1556</v>
      </c>
      <c r="L1066">
        <v>1600654</v>
      </c>
      <c r="M1066">
        <v>1286836</v>
      </c>
      <c r="N1066">
        <v>313818</v>
      </c>
      <c r="O1066">
        <v>30</v>
      </c>
      <c r="P1066" t="str">
        <f t="shared" si="33"/>
        <v>young</v>
      </c>
      <c r="Q1066" t="s">
        <v>1558</v>
      </c>
      <c r="R1066" t="s">
        <v>1562</v>
      </c>
      <c r="S1066" t="s">
        <v>1570</v>
      </c>
      <c r="T1066">
        <v>1283432</v>
      </c>
      <c r="U1066">
        <v>1</v>
      </c>
      <c r="V1066" t="s">
        <v>1572</v>
      </c>
      <c r="W1066" t="s">
        <v>1592</v>
      </c>
      <c r="X1066">
        <v>19.61</v>
      </c>
    </row>
    <row r="1067" spans="1:24" x14ac:dyDescent="0.25">
      <c r="A1067" t="s">
        <v>1087</v>
      </c>
      <c r="B1067" s="4">
        <v>45685</v>
      </c>
      <c r="C1067" s="4" t="str">
        <f t="shared" si="32"/>
        <v>Jan</v>
      </c>
      <c r="D1067" t="s">
        <v>1522</v>
      </c>
      <c r="E1067" t="s">
        <v>1524</v>
      </c>
      <c r="F1067" t="s">
        <v>1536</v>
      </c>
      <c r="G1067" t="s">
        <v>1540</v>
      </c>
      <c r="H1067" t="s">
        <v>1550</v>
      </c>
      <c r="I1067">
        <v>2024</v>
      </c>
      <c r="J1067" t="s">
        <v>1554</v>
      </c>
      <c r="K1067" t="s">
        <v>1556</v>
      </c>
      <c r="L1067">
        <v>1347314</v>
      </c>
      <c r="M1067">
        <v>1152313</v>
      </c>
      <c r="N1067">
        <v>195001</v>
      </c>
      <c r="O1067">
        <v>60</v>
      </c>
      <c r="P1067" t="str">
        <f t="shared" si="33"/>
        <v>senior</v>
      </c>
      <c r="Q1067" t="s">
        <v>1558</v>
      </c>
      <c r="R1067" t="s">
        <v>1565</v>
      </c>
      <c r="S1067" t="s">
        <v>1569</v>
      </c>
      <c r="T1067">
        <v>1377067</v>
      </c>
      <c r="U1067">
        <v>2</v>
      </c>
      <c r="V1067" t="s">
        <v>1571</v>
      </c>
      <c r="W1067" t="s">
        <v>1591</v>
      </c>
      <c r="X1067">
        <v>14.47</v>
      </c>
    </row>
    <row r="1068" spans="1:24" x14ac:dyDescent="0.25">
      <c r="A1068" t="s">
        <v>1088</v>
      </c>
      <c r="B1068" s="4">
        <v>46183</v>
      </c>
      <c r="C1068" s="4" t="str">
        <f t="shared" si="32"/>
        <v>Jun</v>
      </c>
      <c r="D1068" t="s">
        <v>1522</v>
      </c>
      <c r="E1068" t="s">
        <v>1526</v>
      </c>
      <c r="F1068" t="s">
        <v>1528</v>
      </c>
      <c r="G1068" t="s">
        <v>1538</v>
      </c>
      <c r="H1068" t="s">
        <v>4</v>
      </c>
      <c r="I1068">
        <v>2024</v>
      </c>
      <c r="J1068" t="s">
        <v>1554</v>
      </c>
      <c r="K1068" t="s">
        <v>1556</v>
      </c>
      <c r="L1068">
        <v>1880000</v>
      </c>
      <c r="M1068">
        <v>1561896</v>
      </c>
      <c r="N1068">
        <v>318104</v>
      </c>
      <c r="O1068">
        <v>39</v>
      </c>
      <c r="P1068" t="str">
        <f t="shared" si="33"/>
        <v>adult</v>
      </c>
      <c r="Q1068" t="s">
        <v>1558</v>
      </c>
      <c r="R1068" t="s">
        <v>1566</v>
      </c>
      <c r="S1068" t="s">
        <v>1568</v>
      </c>
      <c r="T1068">
        <v>1640660</v>
      </c>
      <c r="U1068">
        <v>5</v>
      </c>
      <c r="V1068" t="s">
        <v>1582</v>
      </c>
      <c r="W1068" t="s">
        <v>1592</v>
      </c>
      <c r="X1068">
        <v>16.920000000000002</v>
      </c>
    </row>
    <row r="1069" spans="1:24" x14ac:dyDescent="0.25">
      <c r="A1069" t="s">
        <v>1089</v>
      </c>
      <c r="B1069" s="4">
        <v>46113</v>
      </c>
      <c r="C1069" s="4" t="str">
        <f t="shared" si="32"/>
        <v>Apr</v>
      </c>
      <c r="D1069" t="s">
        <v>1522</v>
      </c>
      <c r="E1069" t="s">
        <v>1526</v>
      </c>
      <c r="F1069" t="s">
        <v>1531</v>
      </c>
      <c r="G1069" t="s">
        <v>1541</v>
      </c>
      <c r="H1069" t="s">
        <v>4</v>
      </c>
      <c r="I1069">
        <v>2023</v>
      </c>
      <c r="J1069" t="s">
        <v>1554</v>
      </c>
      <c r="K1069" t="s">
        <v>1556</v>
      </c>
      <c r="L1069">
        <v>1763068</v>
      </c>
      <c r="M1069">
        <v>1564928</v>
      </c>
      <c r="N1069">
        <v>198140</v>
      </c>
      <c r="O1069">
        <v>62</v>
      </c>
      <c r="P1069" t="str">
        <f t="shared" si="33"/>
        <v>senior</v>
      </c>
      <c r="Q1069" t="s">
        <v>1558</v>
      </c>
      <c r="R1069" t="s">
        <v>1566</v>
      </c>
      <c r="S1069" t="s">
        <v>1567</v>
      </c>
      <c r="T1069">
        <v>421099</v>
      </c>
      <c r="U1069">
        <v>3</v>
      </c>
      <c r="V1069" t="s">
        <v>1580</v>
      </c>
      <c r="W1069" t="s">
        <v>1592</v>
      </c>
      <c r="X1069">
        <v>11.24</v>
      </c>
    </row>
    <row r="1070" spans="1:24" x14ac:dyDescent="0.25">
      <c r="A1070" t="s">
        <v>1090</v>
      </c>
      <c r="B1070" s="4">
        <v>45792</v>
      </c>
      <c r="C1070" s="4" t="str">
        <f t="shared" si="32"/>
        <v>May</v>
      </c>
      <c r="D1070" t="s">
        <v>1522</v>
      </c>
      <c r="E1070" t="s">
        <v>1523</v>
      </c>
      <c r="F1070" t="s">
        <v>1533</v>
      </c>
      <c r="G1070" t="s">
        <v>1542</v>
      </c>
      <c r="H1070" t="s">
        <v>4</v>
      </c>
      <c r="I1070">
        <v>2025</v>
      </c>
      <c r="J1070" t="s">
        <v>1554</v>
      </c>
      <c r="K1070" t="s">
        <v>1556</v>
      </c>
      <c r="L1070">
        <v>1341109</v>
      </c>
      <c r="M1070">
        <v>1130512</v>
      </c>
      <c r="N1070">
        <v>210597</v>
      </c>
      <c r="O1070">
        <v>50</v>
      </c>
      <c r="P1070" t="str">
        <f t="shared" si="33"/>
        <v>adult</v>
      </c>
      <c r="Q1070" t="s">
        <v>1558</v>
      </c>
      <c r="R1070" t="s">
        <v>1561</v>
      </c>
      <c r="S1070" t="s">
        <v>1567</v>
      </c>
      <c r="T1070">
        <v>2067710</v>
      </c>
      <c r="U1070">
        <v>5</v>
      </c>
      <c r="V1070" t="s">
        <v>1572</v>
      </c>
      <c r="W1070" t="s">
        <v>1592</v>
      </c>
      <c r="X1070">
        <v>15.7</v>
      </c>
    </row>
    <row r="1071" spans="1:24" x14ac:dyDescent="0.25">
      <c r="A1071" t="s">
        <v>1091</v>
      </c>
      <c r="B1071" s="4">
        <v>45820</v>
      </c>
      <c r="C1071" s="4" t="str">
        <f t="shared" si="32"/>
        <v>Jun</v>
      </c>
      <c r="D1071" t="s">
        <v>1522</v>
      </c>
      <c r="E1071" t="s">
        <v>1523</v>
      </c>
      <c r="F1071" t="s">
        <v>1533</v>
      </c>
      <c r="G1071" t="s">
        <v>1547</v>
      </c>
      <c r="H1071" t="s">
        <v>1551</v>
      </c>
      <c r="I1071">
        <v>2026</v>
      </c>
      <c r="J1071" t="s">
        <v>1554</v>
      </c>
      <c r="K1071" t="s">
        <v>1557</v>
      </c>
      <c r="L1071">
        <v>763583</v>
      </c>
      <c r="M1071">
        <v>683936</v>
      </c>
      <c r="N1071">
        <v>79647</v>
      </c>
      <c r="O1071">
        <v>47</v>
      </c>
      <c r="P1071" t="str">
        <f t="shared" si="33"/>
        <v>adult</v>
      </c>
      <c r="Q1071" t="s">
        <v>1558</v>
      </c>
      <c r="R1071" t="s">
        <v>1566</v>
      </c>
      <c r="S1071" t="s">
        <v>1569</v>
      </c>
      <c r="T1071">
        <v>1676664</v>
      </c>
      <c r="U1071">
        <v>1</v>
      </c>
      <c r="V1071" t="s">
        <v>1584</v>
      </c>
      <c r="W1071" t="s">
        <v>1592</v>
      </c>
      <c r="X1071">
        <v>10.43</v>
      </c>
    </row>
    <row r="1072" spans="1:24" x14ac:dyDescent="0.25">
      <c r="A1072" t="s">
        <v>1092</v>
      </c>
      <c r="B1072" s="4">
        <v>45986</v>
      </c>
      <c r="C1072" s="4" t="str">
        <f t="shared" si="32"/>
        <v>Nov</v>
      </c>
      <c r="D1072" t="s">
        <v>1522</v>
      </c>
      <c r="E1072" t="s">
        <v>1523</v>
      </c>
      <c r="F1072" t="s">
        <v>1532</v>
      </c>
      <c r="G1072" t="s">
        <v>1545</v>
      </c>
      <c r="H1072" t="s">
        <v>4</v>
      </c>
      <c r="I1072">
        <v>2026</v>
      </c>
      <c r="J1072" t="s">
        <v>1554</v>
      </c>
      <c r="K1072" t="s">
        <v>1557</v>
      </c>
      <c r="L1072">
        <v>1636980</v>
      </c>
      <c r="M1072">
        <v>1503081</v>
      </c>
      <c r="N1072">
        <v>133899</v>
      </c>
      <c r="O1072">
        <v>54</v>
      </c>
      <c r="P1072" t="str">
        <f t="shared" si="33"/>
        <v>senior</v>
      </c>
      <c r="Q1072" t="s">
        <v>1558</v>
      </c>
      <c r="R1072" t="s">
        <v>1565</v>
      </c>
      <c r="S1072" t="s">
        <v>1568</v>
      </c>
      <c r="T1072">
        <v>712700</v>
      </c>
      <c r="U1072">
        <v>2</v>
      </c>
      <c r="V1072" t="s">
        <v>1583</v>
      </c>
      <c r="W1072" t="s">
        <v>1593</v>
      </c>
      <c r="X1072">
        <v>8.18</v>
      </c>
    </row>
    <row r="1073" spans="1:24" x14ac:dyDescent="0.25">
      <c r="A1073" t="s">
        <v>1093</v>
      </c>
      <c r="B1073" s="4">
        <v>46091</v>
      </c>
      <c r="C1073" s="4" t="str">
        <f t="shared" si="32"/>
        <v>Mar</v>
      </c>
      <c r="D1073" t="s">
        <v>1522</v>
      </c>
      <c r="E1073" t="s">
        <v>1526</v>
      </c>
      <c r="F1073" t="s">
        <v>1537</v>
      </c>
      <c r="G1073" t="s">
        <v>1546</v>
      </c>
      <c r="H1073" t="s">
        <v>1550</v>
      </c>
      <c r="I1073">
        <v>2025</v>
      </c>
      <c r="J1073" t="s">
        <v>1554</v>
      </c>
      <c r="K1073" t="s">
        <v>1556</v>
      </c>
      <c r="L1073">
        <v>1321583</v>
      </c>
      <c r="M1073">
        <v>1231251</v>
      </c>
      <c r="N1073">
        <v>90332</v>
      </c>
      <c r="O1073">
        <v>46</v>
      </c>
      <c r="P1073" t="str">
        <f t="shared" si="33"/>
        <v>adult</v>
      </c>
      <c r="Q1073" t="s">
        <v>1558</v>
      </c>
      <c r="R1073" t="s">
        <v>1566</v>
      </c>
      <c r="S1073" t="s">
        <v>1567</v>
      </c>
      <c r="T1073">
        <v>477678</v>
      </c>
      <c r="U1073">
        <v>5</v>
      </c>
      <c r="V1073" t="s">
        <v>1586</v>
      </c>
      <c r="W1073" t="s">
        <v>1591</v>
      </c>
      <c r="X1073">
        <v>6.84</v>
      </c>
    </row>
    <row r="1074" spans="1:24" x14ac:dyDescent="0.25">
      <c r="A1074" t="s">
        <v>1094</v>
      </c>
      <c r="B1074" s="4">
        <v>45696</v>
      </c>
      <c r="C1074" s="4" t="str">
        <f t="shared" si="32"/>
        <v>Feb</v>
      </c>
      <c r="D1074" t="s">
        <v>1522</v>
      </c>
      <c r="E1074" t="s">
        <v>1527</v>
      </c>
      <c r="F1074" t="s">
        <v>1536</v>
      </c>
      <c r="G1074" t="s">
        <v>1540</v>
      </c>
      <c r="H1074" t="s">
        <v>4</v>
      </c>
      <c r="I1074">
        <v>2023</v>
      </c>
      <c r="J1074" t="s">
        <v>1554</v>
      </c>
      <c r="K1074" t="s">
        <v>1556</v>
      </c>
      <c r="L1074">
        <v>1451642</v>
      </c>
      <c r="M1074">
        <v>1234263</v>
      </c>
      <c r="N1074">
        <v>217379</v>
      </c>
      <c r="O1074">
        <v>60</v>
      </c>
      <c r="P1074" t="str">
        <f t="shared" si="33"/>
        <v>senior</v>
      </c>
      <c r="Q1074" t="s">
        <v>1559</v>
      </c>
      <c r="R1074" t="s">
        <v>1563</v>
      </c>
      <c r="S1074" t="s">
        <v>1568</v>
      </c>
      <c r="T1074">
        <v>1593118</v>
      </c>
      <c r="U1074">
        <v>2</v>
      </c>
      <c r="V1074" t="s">
        <v>1578</v>
      </c>
      <c r="W1074" t="s">
        <v>1591</v>
      </c>
      <c r="X1074">
        <v>14.97</v>
      </c>
    </row>
    <row r="1075" spans="1:24" x14ac:dyDescent="0.25">
      <c r="A1075" t="s">
        <v>1095</v>
      </c>
      <c r="B1075" s="4">
        <v>46004</v>
      </c>
      <c r="C1075" s="4" t="str">
        <f t="shared" si="32"/>
        <v>Dec</v>
      </c>
      <c r="D1075" t="s">
        <v>1522</v>
      </c>
      <c r="E1075" t="s">
        <v>1523</v>
      </c>
      <c r="F1075" t="s">
        <v>1532</v>
      </c>
      <c r="G1075" t="s">
        <v>1540</v>
      </c>
      <c r="H1075" t="s">
        <v>1550</v>
      </c>
      <c r="I1075">
        <v>2022</v>
      </c>
      <c r="J1075" t="s">
        <v>1554</v>
      </c>
      <c r="K1075" t="s">
        <v>1557</v>
      </c>
      <c r="L1075">
        <v>1441821</v>
      </c>
      <c r="M1075">
        <v>1312886</v>
      </c>
      <c r="N1075">
        <v>128935</v>
      </c>
      <c r="O1075">
        <v>43</v>
      </c>
      <c r="P1075" t="str">
        <f t="shared" si="33"/>
        <v>adult</v>
      </c>
      <c r="Q1075" t="s">
        <v>1558</v>
      </c>
      <c r="R1075" t="s">
        <v>1564</v>
      </c>
      <c r="S1075" t="s">
        <v>1568</v>
      </c>
      <c r="T1075">
        <v>822284</v>
      </c>
      <c r="U1075">
        <v>2</v>
      </c>
      <c r="V1075" t="s">
        <v>1575</v>
      </c>
      <c r="W1075" t="s">
        <v>1593</v>
      </c>
      <c r="X1075">
        <v>8.94</v>
      </c>
    </row>
    <row r="1076" spans="1:24" x14ac:dyDescent="0.25">
      <c r="A1076" t="s">
        <v>1096</v>
      </c>
      <c r="B1076" s="4">
        <v>45756</v>
      </c>
      <c r="C1076" s="4" t="str">
        <f t="shared" si="32"/>
        <v>Apr</v>
      </c>
      <c r="D1076" t="s">
        <v>1522</v>
      </c>
      <c r="E1076" t="s">
        <v>1524</v>
      </c>
      <c r="F1076" t="s">
        <v>1528</v>
      </c>
      <c r="G1076" t="s">
        <v>1547</v>
      </c>
      <c r="H1076" t="s">
        <v>4</v>
      </c>
      <c r="I1076">
        <v>2025</v>
      </c>
      <c r="J1076" t="s">
        <v>1554</v>
      </c>
      <c r="K1076" t="s">
        <v>1557</v>
      </c>
      <c r="L1076">
        <v>1538178</v>
      </c>
      <c r="M1076">
        <v>1256927</v>
      </c>
      <c r="N1076">
        <v>281251</v>
      </c>
      <c r="O1076">
        <v>29</v>
      </c>
      <c r="P1076" t="str">
        <f t="shared" si="33"/>
        <v>young</v>
      </c>
      <c r="Q1076" t="s">
        <v>1559</v>
      </c>
      <c r="R1076" t="s">
        <v>1564</v>
      </c>
      <c r="S1076" t="s">
        <v>1569</v>
      </c>
      <c r="T1076">
        <v>644070</v>
      </c>
      <c r="U1076">
        <v>1</v>
      </c>
      <c r="V1076" t="s">
        <v>1573</v>
      </c>
      <c r="W1076" t="s">
        <v>1592</v>
      </c>
      <c r="X1076">
        <v>18.28</v>
      </c>
    </row>
    <row r="1077" spans="1:24" x14ac:dyDescent="0.25">
      <c r="A1077" t="s">
        <v>1097</v>
      </c>
      <c r="B1077" s="4">
        <v>45886</v>
      </c>
      <c r="C1077" s="4" t="str">
        <f t="shared" si="32"/>
        <v>Aug</v>
      </c>
      <c r="D1077" t="s">
        <v>1522</v>
      </c>
      <c r="E1077" t="s">
        <v>1526</v>
      </c>
      <c r="F1077" t="s">
        <v>1532</v>
      </c>
      <c r="G1077" t="s">
        <v>1542</v>
      </c>
      <c r="H1077" t="s">
        <v>4</v>
      </c>
      <c r="I1077">
        <v>2024</v>
      </c>
      <c r="J1077" t="s">
        <v>1554</v>
      </c>
      <c r="K1077" t="s">
        <v>1557</v>
      </c>
      <c r="L1077">
        <v>1496177</v>
      </c>
      <c r="M1077">
        <v>1350390</v>
      </c>
      <c r="N1077">
        <v>145787</v>
      </c>
      <c r="O1077">
        <v>41</v>
      </c>
      <c r="P1077" t="str">
        <f t="shared" si="33"/>
        <v>adult</v>
      </c>
      <c r="Q1077" t="s">
        <v>1558</v>
      </c>
      <c r="R1077" t="s">
        <v>1562</v>
      </c>
      <c r="S1077" t="s">
        <v>1567</v>
      </c>
      <c r="T1077">
        <v>1433755</v>
      </c>
      <c r="U1077">
        <v>3</v>
      </c>
      <c r="V1077" t="s">
        <v>1585</v>
      </c>
      <c r="W1077" t="s">
        <v>1594</v>
      </c>
      <c r="X1077">
        <v>9.74</v>
      </c>
    </row>
    <row r="1078" spans="1:24" x14ac:dyDescent="0.25">
      <c r="A1078" t="s">
        <v>1098</v>
      </c>
      <c r="B1078" s="4">
        <v>45852</v>
      </c>
      <c r="C1078" s="4" t="str">
        <f t="shared" si="32"/>
        <v>Jul</v>
      </c>
      <c r="D1078" t="s">
        <v>1522</v>
      </c>
      <c r="E1078" t="s">
        <v>1525</v>
      </c>
      <c r="F1078" t="s">
        <v>1532</v>
      </c>
      <c r="G1078" t="s">
        <v>1541</v>
      </c>
      <c r="H1078" t="s">
        <v>4</v>
      </c>
      <c r="I1078">
        <v>2024</v>
      </c>
      <c r="J1078" t="s">
        <v>1554</v>
      </c>
      <c r="K1078" t="s">
        <v>1556</v>
      </c>
      <c r="L1078">
        <v>1476757</v>
      </c>
      <c r="M1078">
        <v>1345045</v>
      </c>
      <c r="N1078">
        <v>131712</v>
      </c>
      <c r="O1078">
        <v>38</v>
      </c>
      <c r="P1078" t="str">
        <f t="shared" si="33"/>
        <v>adult</v>
      </c>
      <c r="Q1078" t="s">
        <v>1559</v>
      </c>
      <c r="R1078" t="s">
        <v>1561</v>
      </c>
      <c r="S1078" t="s">
        <v>1570</v>
      </c>
      <c r="T1078">
        <v>218431</v>
      </c>
      <c r="U1078">
        <v>1</v>
      </c>
      <c r="V1078" t="s">
        <v>1579</v>
      </c>
      <c r="W1078" t="s">
        <v>1594</v>
      </c>
      <c r="X1078">
        <v>8.92</v>
      </c>
    </row>
    <row r="1079" spans="1:24" x14ac:dyDescent="0.25">
      <c r="A1079" t="s">
        <v>1099</v>
      </c>
      <c r="B1079" s="4">
        <v>46155</v>
      </c>
      <c r="C1079" s="4" t="str">
        <f t="shared" si="32"/>
        <v>May</v>
      </c>
      <c r="D1079" t="s">
        <v>1522</v>
      </c>
      <c r="E1079" t="s">
        <v>1525</v>
      </c>
      <c r="F1079" t="s">
        <v>1530</v>
      </c>
      <c r="G1079" t="s">
        <v>1540</v>
      </c>
      <c r="H1079" t="s">
        <v>4</v>
      </c>
      <c r="I1079">
        <v>2025</v>
      </c>
      <c r="J1079" t="s">
        <v>1554</v>
      </c>
      <c r="K1079" t="s">
        <v>1557</v>
      </c>
      <c r="L1079">
        <v>1439956</v>
      </c>
      <c r="M1079">
        <v>1253762</v>
      </c>
      <c r="N1079">
        <v>186194</v>
      </c>
      <c r="O1079">
        <v>39</v>
      </c>
      <c r="P1079" t="str">
        <f t="shared" si="33"/>
        <v>adult</v>
      </c>
      <c r="Q1079" t="s">
        <v>1558</v>
      </c>
      <c r="R1079" t="s">
        <v>1563</v>
      </c>
      <c r="S1079" t="s">
        <v>1567</v>
      </c>
      <c r="T1079">
        <v>2005694</v>
      </c>
      <c r="U1079">
        <v>2</v>
      </c>
      <c r="V1079" t="s">
        <v>1590</v>
      </c>
      <c r="W1079" t="s">
        <v>1592</v>
      </c>
      <c r="X1079">
        <v>12.93</v>
      </c>
    </row>
    <row r="1080" spans="1:24" x14ac:dyDescent="0.25">
      <c r="A1080" t="s">
        <v>1100</v>
      </c>
      <c r="B1080" s="4">
        <v>45819</v>
      </c>
      <c r="C1080" s="4" t="str">
        <f t="shared" si="32"/>
        <v>Jun</v>
      </c>
      <c r="D1080" t="s">
        <v>1522</v>
      </c>
      <c r="E1080" t="s">
        <v>1523</v>
      </c>
      <c r="F1080" t="s">
        <v>1537</v>
      </c>
      <c r="G1080" t="s">
        <v>1543</v>
      </c>
      <c r="H1080" t="s">
        <v>4</v>
      </c>
      <c r="I1080">
        <v>2023</v>
      </c>
      <c r="J1080" t="s">
        <v>1554</v>
      </c>
      <c r="K1080" t="s">
        <v>1556</v>
      </c>
      <c r="L1080">
        <v>1766253</v>
      </c>
      <c r="M1080">
        <v>1447771</v>
      </c>
      <c r="N1080">
        <v>318482</v>
      </c>
      <c r="O1080">
        <v>34</v>
      </c>
      <c r="P1080" t="str">
        <f t="shared" si="33"/>
        <v>adult</v>
      </c>
      <c r="Q1080" t="s">
        <v>1558</v>
      </c>
      <c r="R1080" t="s">
        <v>1564</v>
      </c>
      <c r="S1080" t="s">
        <v>1567</v>
      </c>
      <c r="T1080">
        <v>1004</v>
      </c>
      <c r="U1080">
        <v>3</v>
      </c>
      <c r="V1080" t="s">
        <v>1584</v>
      </c>
      <c r="W1080" t="s">
        <v>1592</v>
      </c>
      <c r="X1080">
        <v>18.03</v>
      </c>
    </row>
    <row r="1081" spans="1:24" x14ac:dyDescent="0.25">
      <c r="A1081" t="s">
        <v>1101</v>
      </c>
      <c r="B1081" s="4">
        <v>45984</v>
      </c>
      <c r="C1081" s="4" t="str">
        <f t="shared" si="32"/>
        <v>Nov</v>
      </c>
      <c r="D1081" t="s">
        <v>1522</v>
      </c>
      <c r="E1081" t="s">
        <v>1523</v>
      </c>
      <c r="F1081" t="s">
        <v>1530</v>
      </c>
      <c r="G1081" t="s">
        <v>1538</v>
      </c>
      <c r="H1081" t="s">
        <v>4</v>
      </c>
      <c r="I1081">
        <v>2025</v>
      </c>
      <c r="J1081" t="s">
        <v>1554</v>
      </c>
      <c r="K1081" t="s">
        <v>1556</v>
      </c>
      <c r="L1081">
        <v>1866821</v>
      </c>
      <c r="M1081">
        <v>1592343</v>
      </c>
      <c r="N1081">
        <v>274478</v>
      </c>
      <c r="O1081">
        <v>62</v>
      </c>
      <c r="P1081" t="str">
        <f t="shared" si="33"/>
        <v>senior</v>
      </c>
      <c r="Q1081" t="s">
        <v>1558</v>
      </c>
      <c r="R1081" t="s">
        <v>1562</v>
      </c>
      <c r="S1081" t="s">
        <v>1567</v>
      </c>
      <c r="T1081">
        <v>1614544</v>
      </c>
      <c r="U1081">
        <v>5</v>
      </c>
      <c r="V1081" t="s">
        <v>1583</v>
      </c>
      <c r="W1081" t="s">
        <v>1593</v>
      </c>
      <c r="X1081">
        <v>14.7</v>
      </c>
    </row>
    <row r="1082" spans="1:24" x14ac:dyDescent="0.25">
      <c r="A1082" t="s">
        <v>1102</v>
      </c>
      <c r="B1082" s="4">
        <v>45678</v>
      </c>
      <c r="C1082" s="4" t="str">
        <f t="shared" si="32"/>
        <v>Jan</v>
      </c>
      <c r="D1082" t="s">
        <v>1522</v>
      </c>
      <c r="E1082" t="s">
        <v>1525</v>
      </c>
      <c r="F1082" t="s">
        <v>1537</v>
      </c>
      <c r="G1082" t="s">
        <v>1546</v>
      </c>
      <c r="H1082" t="s">
        <v>1552</v>
      </c>
      <c r="I1082">
        <v>2025</v>
      </c>
      <c r="J1082" t="s">
        <v>1555</v>
      </c>
      <c r="K1082" t="s">
        <v>1556</v>
      </c>
      <c r="L1082">
        <v>2010113</v>
      </c>
      <c r="M1082">
        <v>1675689</v>
      </c>
      <c r="N1082">
        <v>334424</v>
      </c>
      <c r="O1082">
        <v>60</v>
      </c>
      <c r="P1082" t="str">
        <f t="shared" si="33"/>
        <v>senior</v>
      </c>
      <c r="Q1082" t="s">
        <v>1558</v>
      </c>
      <c r="R1082" t="s">
        <v>1563</v>
      </c>
      <c r="S1082" t="s">
        <v>1568</v>
      </c>
      <c r="T1082">
        <v>1094723</v>
      </c>
      <c r="U1082">
        <v>5</v>
      </c>
      <c r="V1082" t="s">
        <v>1571</v>
      </c>
      <c r="W1082" t="s">
        <v>1591</v>
      </c>
      <c r="X1082">
        <v>16.64</v>
      </c>
    </row>
    <row r="1083" spans="1:24" x14ac:dyDescent="0.25">
      <c r="A1083" t="s">
        <v>1103</v>
      </c>
      <c r="B1083" s="4">
        <v>46212</v>
      </c>
      <c r="C1083" s="4" t="str">
        <f t="shared" si="32"/>
        <v>Jul</v>
      </c>
      <c r="D1083" t="s">
        <v>1522</v>
      </c>
      <c r="E1083" t="s">
        <v>1523</v>
      </c>
      <c r="F1083" t="s">
        <v>1535</v>
      </c>
      <c r="G1083" t="s">
        <v>1549</v>
      </c>
      <c r="H1083" t="s">
        <v>1551</v>
      </c>
      <c r="I1083">
        <v>2022</v>
      </c>
      <c r="J1083" t="s">
        <v>1554</v>
      </c>
      <c r="K1083" t="s">
        <v>1557</v>
      </c>
      <c r="L1083">
        <v>930400</v>
      </c>
      <c r="M1083">
        <v>860535</v>
      </c>
      <c r="N1083">
        <v>69865</v>
      </c>
      <c r="O1083">
        <v>29</v>
      </c>
      <c r="P1083" t="str">
        <f t="shared" si="33"/>
        <v>young</v>
      </c>
      <c r="Q1083" t="s">
        <v>1559</v>
      </c>
      <c r="R1083" t="s">
        <v>1563</v>
      </c>
      <c r="S1083" t="s">
        <v>1570</v>
      </c>
      <c r="T1083">
        <v>806270</v>
      </c>
      <c r="U1083">
        <v>5</v>
      </c>
      <c r="V1083" t="s">
        <v>1587</v>
      </c>
      <c r="W1083" t="s">
        <v>1594</v>
      </c>
      <c r="X1083">
        <v>7.51</v>
      </c>
    </row>
    <row r="1084" spans="1:24" x14ac:dyDescent="0.25">
      <c r="A1084" t="s">
        <v>1104</v>
      </c>
      <c r="B1084" s="4">
        <v>45855</v>
      </c>
      <c r="C1084" s="4" t="str">
        <f t="shared" si="32"/>
        <v>Jul</v>
      </c>
      <c r="D1084" t="s">
        <v>1522</v>
      </c>
      <c r="E1084" t="s">
        <v>1526</v>
      </c>
      <c r="F1084" t="s">
        <v>1531</v>
      </c>
      <c r="G1084" t="s">
        <v>1543</v>
      </c>
      <c r="H1084" t="s">
        <v>1551</v>
      </c>
      <c r="I1084">
        <v>2025</v>
      </c>
      <c r="J1084" t="s">
        <v>1554</v>
      </c>
      <c r="K1084" t="s">
        <v>1557</v>
      </c>
      <c r="L1084">
        <v>874040</v>
      </c>
      <c r="M1084">
        <v>786627</v>
      </c>
      <c r="N1084">
        <v>87413</v>
      </c>
      <c r="O1084">
        <v>58</v>
      </c>
      <c r="P1084" t="str">
        <f t="shared" si="33"/>
        <v>senior</v>
      </c>
      <c r="Q1084" t="s">
        <v>1558</v>
      </c>
      <c r="R1084" t="s">
        <v>1562</v>
      </c>
      <c r="S1084" t="s">
        <v>1568</v>
      </c>
      <c r="T1084">
        <v>691592</v>
      </c>
      <c r="U1084">
        <v>5</v>
      </c>
      <c r="V1084" t="s">
        <v>1579</v>
      </c>
      <c r="W1084" t="s">
        <v>1594</v>
      </c>
      <c r="X1084">
        <v>10</v>
      </c>
    </row>
    <row r="1085" spans="1:24" x14ac:dyDescent="0.25">
      <c r="A1085" t="s">
        <v>1105</v>
      </c>
      <c r="B1085" s="4">
        <v>46254</v>
      </c>
      <c r="C1085" s="4" t="str">
        <f t="shared" si="32"/>
        <v>Aug</v>
      </c>
      <c r="D1085" t="s">
        <v>1522</v>
      </c>
      <c r="E1085" t="s">
        <v>1526</v>
      </c>
      <c r="F1085" t="s">
        <v>1536</v>
      </c>
      <c r="G1085" t="s">
        <v>1544</v>
      </c>
      <c r="H1085" t="s">
        <v>4</v>
      </c>
      <c r="I1085">
        <v>2025</v>
      </c>
      <c r="J1085" t="s">
        <v>1554</v>
      </c>
      <c r="K1085" t="s">
        <v>1556</v>
      </c>
      <c r="L1085">
        <v>1505053</v>
      </c>
      <c r="M1085">
        <v>1298059</v>
      </c>
      <c r="N1085">
        <v>206994</v>
      </c>
      <c r="O1085">
        <v>58</v>
      </c>
      <c r="P1085" t="str">
        <f t="shared" si="33"/>
        <v>senior</v>
      </c>
      <c r="Q1085" t="s">
        <v>1558</v>
      </c>
      <c r="R1085" t="s">
        <v>1563</v>
      </c>
      <c r="S1085" t="s">
        <v>1567</v>
      </c>
      <c r="T1085">
        <v>248574</v>
      </c>
      <c r="U1085">
        <v>3</v>
      </c>
      <c r="V1085" t="s">
        <v>1576</v>
      </c>
      <c r="W1085" t="s">
        <v>1594</v>
      </c>
      <c r="X1085">
        <v>13.75</v>
      </c>
    </row>
    <row r="1086" spans="1:24" x14ac:dyDescent="0.25">
      <c r="A1086" t="s">
        <v>1106</v>
      </c>
      <c r="B1086" s="4">
        <v>45844</v>
      </c>
      <c r="C1086" s="4" t="str">
        <f t="shared" si="32"/>
        <v>Jul</v>
      </c>
      <c r="D1086" t="s">
        <v>1522</v>
      </c>
      <c r="E1086" t="s">
        <v>1523</v>
      </c>
      <c r="F1086" t="s">
        <v>1532</v>
      </c>
      <c r="G1086" t="s">
        <v>1546</v>
      </c>
      <c r="H1086" t="s">
        <v>4</v>
      </c>
      <c r="I1086">
        <v>2024</v>
      </c>
      <c r="J1086" t="s">
        <v>1554</v>
      </c>
      <c r="K1086" t="s">
        <v>1556</v>
      </c>
      <c r="L1086">
        <v>1490873</v>
      </c>
      <c r="M1086">
        <v>1351130</v>
      </c>
      <c r="N1086">
        <v>139743</v>
      </c>
      <c r="O1086">
        <v>60</v>
      </c>
      <c r="P1086" t="str">
        <f t="shared" si="33"/>
        <v>senior</v>
      </c>
      <c r="Q1086" t="s">
        <v>1558</v>
      </c>
      <c r="R1086" t="s">
        <v>1561</v>
      </c>
      <c r="S1086" t="s">
        <v>1568</v>
      </c>
      <c r="T1086">
        <v>1335076</v>
      </c>
      <c r="U1086">
        <v>3</v>
      </c>
      <c r="V1086" t="s">
        <v>1579</v>
      </c>
      <c r="W1086" t="s">
        <v>1594</v>
      </c>
      <c r="X1086">
        <v>9.3699999999999992</v>
      </c>
    </row>
    <row r="1087" spans="1:24" x14ac:dyDescent="0.25">
      <c r="A1087" t="s">
        <v>1107</v>
      </c>
      <c r="B1087" s="4">
        <v>45991</v>
      </c>
      <c r="C1087" s="4" t="str">
        <f t="shared" si="32"/>
        <v>Nov</v>
      </c>
      <c r="D1087" t="s">
        <v>1522</v>
      </c>
      <c r="E1087" t="s">
        <v>1524</v>
      </c>
      <c r="F1087" t="s">
        <v>1530</v>
      </c>
      <c r="G1087" t="s">
        <v>1541</v>
      </c>
      <c r="H1087" t="s">
        <v>1551</v>
      </c>
      <c r="I1087">
        <v>2024</v>
      </c>
      <c r="J1087" t="s">
        <v>1554</v>
      </c>
      <c r="K1087" t="s">
        <v>1556</v>
      </c>
      <c r="L1087">
        <v>799109</v>
      </c>
      <c r="M1087">
        <v>699116</v>
      </c>
      <c r="N1087">
        <v>99993</v>
      </c>
      <c r="O1087">
        <v>39</v>
      </c>
      <c r="P1087" t="str">
        <f t="shared" si="33"/>
        <v>adult</v>
      </c>
      <c r="Q1087" t="s">
        <v>1559</v>
      </c>
      <c r="R1087" t="s">
        <v>1564</v>
      </c>
      <c r="S1087" t="s">
        <v>1570</v>
      </c>
      <c r="T1087">
        <v>1315016</v>
      </c>
      <c r="U1087">
        <v>4</v>
      </c>
      <c r="V1087" t="s">
        <v>1583</v>
      </c>
      <c r="W1087" t="s">
        <v>1593</v>
      </c>
      <c r="X1087">
        <v>12.51</v>
      </c>
    </row>
    <row r="1088" spans="1:24" x14ac:dyDescent="0.25">
      <c r="A1088" t="s">
        <v>1108</v>
      </c>
      <c r="B1088" s="4">
        <v>45696</v>
      </c>
      <c r="C1088" s="4" t="str">
        <f t="shared" si="32"/>
        <v>Feb</v>
      </c>
      <c r="D1088" t="s">
        <v>1522</v>
      </c>
      <c r="E1088" t="s">
        <v>1525</v>
      </c>
      <c r="F1088" t="s">
        <v>1530</v>
      </c>
      <c r="G1088" t="s">
        <v>1539</v>
      </c>
      <c r="H1088" t="s">
        <v>4</v>
      </c>
      <c r="I1088">
        <v>2023</v>
      </c>
      <c r="J1088" t="s">
        <v>1554</v>
      </c>
      <c r="K1088" t="s">
        <v>1556</v>
      </c>
      <c r="L1088">
        <v>1408785</v>
      </c>
      <c r="M1088">
        <v>1246108</v>
      </c>
      <c r="N1088">
        <v>162677</v>
      </c>
      <c r="O1088">
        <v>47</v>
      </c>
      <c r="P1088" t="str">
        <f t="shared" si="33"/>
        <v>adult</v>
      </c>
      <c r="Q1088" t="s">
        <v>1558</v>
      </c>
      <c r="R1088" t="s">
        <v>1564</v>
      </c>
      <c r="S1088" t="s">
        <v>1567</v>
      </c>
      <c r="T1088">
        <v>729381</v>
      </c>
      <c r="U1088">
        <v>5</v>
      </c>
      <c r="V1088" t="s">
        <v>1578</v>
      </c>
      <c r="W1088" t="s">
        <v>1591</v>
      </c>
      <c r="X1088">
        <v>11.55</v>
      </c>
    </row>
    <row r="1089" spans="1:24" x14ac:dyDescent="0.25">
      <c r="A1089" t="s">
        <v>1109</v>
      </c>
      <c r="B1089" s="4">
        <v>46047</v>
      </c>
      <c r="C1089" s="4" t="str">
        <f t="shared" si="32"/>
        <v>Jan</v>
      </c>
      <c r="D1089" t="s">
        <v>1522</v>
      </c>
      <c r="E1089" t="s">
        <v>1524</v>
      </c>
      <c r="F1089" t="s">
        <v>1532</v>
      </c>
      <c r="G1089" t="s">
        <v>1538</v>
      </c>
      <c r="H1089" t="s">
        <v>4</v>
      </c>
      <c r="I1089">
        <v>2026</v>
      </c>
      <c r="J1089" t="s">
        <v>1554</v>
      </c>
      <c r="K1089" t="s">
        <v>1556</v>
      </c>
      <c r="L1089">
        <v>1567130</v>
      </c>
      <c r="M1089">
        <v>1440500</v>
      </c>
      <c r="N1089">
        <v>126630</v>
      </c>
      <c r="O1089">
        <v>63</v>
      </c>
      <c r="P1089" t="str">
        <f t="shared" si="33"/>
        <v>senior</v>
      </c>
      <c r="Q1089" t="s">
        <v>1559</v>
      </c>
      <c r="R1089" t="s">
        <v>1564</v>
      </c>
      <c r="S1089" t="s">
        <v>1568</v>
      </c>
      <c r="T1089">
        <v>1254614</v>
      </c>
      <c r="U1089">
        <v>5</v>
      </c>
      <c r="V1089" t="s">
        <v>1581</v>
      </c>
      <c r="W1089" t="s">
        <v>1591</v>
      </c>
      <c r="X1089">
        <v>8.08</v>
      </c>
    </row>
    <row r="1090" spans="1:24" x14ac:dyDescent="0.25">
      <c r="A1090" t="s">
        <v>1110</v>
      </c>
      <c r="B1090" s="4">
        <v>45790</v>
      </c>
      <c r="C1090" s="4" t="str">
        <f t="shared" si="32"/>
        <v>May</v>
      </c>
      <c r="D1090" t="s">
        <v>1522</v>
      </c>
      <c r="E1090" t="s">
        <v>1527</v>
      </c>
      <c r="F1090" t="s">
        <v>1533</v>
      </c>
      <c r="G1090" t="s">
        <v>1538</v>
      </c>
      <c r="H1090" t="s">
        <v>4</v>
      </c>
      <c r="I1090">
        <v>2024</v>
      </c>
      <c r="J1090" t="s">
        <v>1554</v>
      </c>
      <c r="K1090" t="s">
        <v>1557</v>
      </c>
      <c r="L1090">
        <v>1252105</v>
      </c>
      <c r="M1090">
        <v>1102739</v>
      </c>
      <c r="N1090">
        <v>149366</v>
      </c>
      <c r="O1090">
        <v>30</v>
      </c>
      <c r="P1090" t="str">
        <f t="shared" si="33"/>
        <v>young</v>
      </c>
      <c r="Q1090" t="s">
        <v>1558</v>
      </c>
      <c r="R1090" t="s">
        <v>1564</v>
      </c>
      <c r="S1090" t="s">
        <v>1567</v>
      </c>
      <c r="T1090">
        <v>1813954</v>
      </c>
      <c r="U1090">
        <v>3</v>
      </c>
      <c r="V1090" t="s">
        <v>1572</v>
      </c>
      <c r="W1090" t="s">
        <v>1592</v>
      </c>
      <c r="X1090">
        <v>11.93</v>
      </c>
    </row>
    <row r="1091" spans="1:24" x14ac:dyDescent="0.25">
      <c r="A1091" t="s">
        <v>1111</v>
      </c>
      <c r="B1091" s="4">
        <v>45990</v>
      </c>
      <c r="C1091" s="4" t="str">
        <f t="shared" ref="C1091:C1154" si="34">TEXT(B1091,"MMM")</f>
        <v>Nov</v>
      </c>
      <c r="D1091" t="s">
        <v>1522</v>
      </c>
      <c r="E1091" t="s">
        <v>1525</v>
      </c>
      <c r="F1091" t="s">
        <v>1533</v>
      </c>
      <c r="G1091" t="s">
        <v>1549</v>
      </c>
      <c r="H1091" t="s">
        <v>1550</v>
      </c>
      <c r="I1091">
        <v>2023</v>
      </c>
      <c r="J1091" t="s">
        <v>1554</v>
      </c>
      <c r="K1091" t="s">
        <v>1557</v>
      </c>
      <c r="L1091">
        <v>1358770</v>
      </c>
      <c r="M1091">
        <v>1140838</v>
      </c>
      <c r="N1091">
        <v>217932</v>
      </c>
      <c r="O1091">
        <v>55</v>
      </c>
      <c r="P1091" t="str">
        <f t="shared" ref="P1091:P1154" si="35">IF(O1091&gt;50,"senior",IF(O1091&gt;30,"adult","young"))</f>
        <v>senior</v>
      </c>
      <c r="Q1091" t="s">
        <v>1559</v>
      </c>
      <c r="R1091" t="s">
        <v>1564</v>
      </c>
      <c r="S1091" t="s">
        <v>1569</v>
      </c>
      <c r="T1091">
        <v>1393802</v>
      </c>
      <c r="U1091">
        <v>2</v>
      </c>
      <c r="V1091" t="s">
        <v>1583</v>
      </c>
      <c r="W1091" t="s">
        <v>1593</v>
      </c>
      <c r="X1091">
        <v>16.04</v>
      </c>
    </row>
    <row r="1092" spans="1:24" x14ac:dyDescent="0.25">
      <c r="A1092" t="s">
        <v>1112</v>
      </c>
      <c r="B1092" s="4">
        <v>45921</v>
      </c>
      <c r="C1092" s="4" t="str">
        <f t="shared" si="34"/>
        <v>Sep</v>
      </c>
      <c r="D1092" t="s">
        <v>1522</v>
      </c>
      <c r="E1092" t="s">
        <v>1527</v>
      </c>
      <c r="F1092" t="s">
        <v>1533</v>
      </c>
      <c r="G1092" t="s">
        <v>1547</v>
      </c>
      <c r="H1092" t="s">
        <v>1552</v>
      </c>
      <c r="I1092">
        <v>2022</v>
      </c>
      <c r="J1092" t="s">
        <v>1555</v>
      </c>
      <c r="K1092" t="s">
        <v>1556</v>
      </c>
      <c r="L1092">
        <v>1889996</v>
      </c>
      <c r="M1092">
        <v>1714929</v>
      </c>
      <c r="N1092">
        <v>175067</v>
      </c>
      <c r="O1092">
        <v>27</v>
      </c>
      <c r="P1092" t="str">
        <f t="shared" si="35"/>
        <v>young</v>
      </c>
      <c r="Q1092" t="s">
        <v>1558</v>
      </c>
      <c r="R1092" t="s">
        <v>1564</v>
      </c>
      <c r="S1092" t="s">
        <v>1568</v>
      </c>
      <c r="T1092">
        <v>1877147</v>
      </c>
      <c r="U1092">
        <v>1</v>
      </c>
      <c r="V1092" t="s">
        <v>1577</v>
      </c>
      <c r="W1092" t="s">
        <v>1594</v>
      </c>
      <c r="X1092">
        <v>9.26</v>
      </c>
    </row>
    <row r="1093" spans="1:24" x14ac:dyDescent="0.25">
      <c r="A1093" t="s">
        <v>1113</v>
      </c>
      <c r="B1093" s="4">
        <v>45714</v>
      </c>
      <c r="C1093" s="4" t="str">
        <f t="shared" si="34"/>
        <v>Feb</v>
      </c>
      <c r="D1093" t="s">
        <v>1522</v>
      </c>
      <c r="E1093" t="s">
        <v>1525</v>
      </c>
      <c r="F1093" t="s">
        <v>1530</v>
      </c>
      <c r="G1093" t="s">
        <v>1543</v>
      </c>
      <c r="H1093" t="s">
        <v>4</v>
      </c>
      <c r="I1093">
        <v>2023</v>
      </c>
      <c r="J1093" t="s">
        <v>1554</v>
      </c>
      <c r="K1093" t="s">
        <v>1556</v>
      </c>
      <c r="L1093">
        <v>1582380</v>
      </c>
      <c r="M1093">
        <v>1407678</v>
      </c>
      <c r="N1093">
        <v>174702</v>
      </c>
      <c r="O1093">
        <v>64</v>
      </c>
      <c r="P1093" t="str">
        <f t="shared" si="35"/>
        <v>senior</v>
      </c>
      <c r="Q1093" t="s">
        <v>1558</v>
      </c>
      <c r="R1093" t="s">
        <v>1564</v>
      </c>
      <c r="S1093" t="s">
        <v>1567</v>
      </c>
      <c r="T1093">
        <v>961499</v>
      </c>
      <c r="U1093">
        <v>2</v>
      </c>
      <c r="V1093" t="s">
        <v>1578</v>
      </c>
      <c r="W1093" t="s">
        <v>1591</v>
      </c>
      <c r="X1093">
        <v>11.04</v>
      </c>
    </row>
    <row r="1094" spans="1:24" x14ac:dyDescent="0.25">
      <c r="A1094" t="s">
        <v>1114</v>
      </c>
      <c r="B1094" s="4">
        <v>46252</v>
      </c>
      <c r="C1094" s="4" t="str">
        <f t="shared" si="34"/>
        <v>Aug</v>
      </c>
      <c r="D1094" t="s">
        <v>1522</v>
      </c>
      <c r="E1094" t="s">
        <v>1524</v>
      </c>
      <c r="F1094" t="s">
        <v>1529</v>
      </c>
      <c r="G1094" t="s">
        <v>1547</v>
      </c>
      <c r="H1094" t="s">
        <v>4</v>
      </c>
      <c r="I1094">
        <v>2025</v>
      </c>
      <c r="J1094" t="s">
        <v>1554</v>
      </c>
      <c r="K1094" t="s">
        <v>1556</v>
      </c>
      <c r="L1094">
        <v>1639373</v>
      </c>
      <c r="M1094">
        <v>1420317</v>
      </c>
      <c r="N1094">
        <v>219056</v>
      </c>
      <c r="O1094">
        <v>37</v>
      </c>
      <c r="P1094" t="str">
        <f t="shared" si="35"/>
        <v>adult</v>
      </c>
      <c r="Q1094" t="s">
        <v>1558</v>
      </c>
      <c r="R1094" t="s">
        <v>1563</v>
      </c>
      <c r="S1094" t="s">
        <v>1570</v>
      </c>
      <c r="T1094">
        <v>1976249</v>
      </c>
      <c r="U1094">
        <v>2</v>
      </c>
      <c r="V1094" t="s">
        <v>1576</v>
      </c>
      <c r="W1094" t="s">
        <v>1594</v>
      </c>
      <c r="X1094">
        <v>13.36</v>
      </c>
    </row>
    <row r="1095" spans="1:24" x14ac:dyDescent="0.25">
      <c r="A1095" t="s">
        <v>1115</v>
      </c>
      <c r="B1095" s="4">
        <v>46155</v>
      </c>
      <c r="C1095" s="4" t="str">
        <f t="shared" si="34"/>
        <v>May</v>
      </c>
      <c r="D1095" t="s">
        <v>1522</v>
      </c>
      <c r="E1095" t="s">
        <v>1526</v>
      </c>
      <c r="F1095" t="s">
        <v>1530</v>
      </c>
      <c r="G1095" t="s">
        <v>1540</v>
      </c>
      <c r="H1095" t="s">
        <v>4</v>
      </c>
      <c r="I1095">
        <v>2023</v>
      </c>
      <c r="J1095" t="s">
        <v>1554</v>
      </c>
      <c r="K1095" t="s">
        <v>1556</v>
      </c>
      <c r="L1095">
        <v>1476554</v>
      </c>
      <c r="M1095">
        <v>1366540</v>
      </c>
      <c r="N1095">
        <v>110014</v>
      </c>
      <c r="O1095">
        <v>36</v>
      </c>
      <c r="P1095" t="str">
        <f t="shared" si="35"/>
        <v>adult</v>
      </c>
      <c r="Q1095" t="s">
        <v>1559</v>
      </c>
      <c r="R1095" t="s">
        <v>1566</v>
      </c>
      <c r="S1095" t="s">
        <v>1567</v>
      </c>
      <c r="T1095">
        <v>934783</v>
      </c>
      <c r="U1095">
        <v>4</v>
      </c>
      <c r="V1095" t="s">
        <v>1590</v>
      </c>
      <c r="W1095" t="s">
        <v>1592</v>
      </c>
      <c r="X1095">
        <v>7.45</v>
      </c>
    </row>
    <row r="1096" spans="1:24" x14ac:dyDescent="0.25">
      <c r="A1096" t="s">
        <v>1116</v>
      </c>
      <c r="B1096" s="4">
        <v>45886</v>
      </c>
      <c r="C1096" s="4" t="str">
        <f t="shared" si="34"/>
        <v>Aug</v>
      </c>
      <c r="D1096" t="s">
        <v>1522</v>
      </c>
      <c r="E1096" t="s">
        <v>1526</v>
      </c>
      <c r="F1096" t="s">
        <v>1531</v>
      </c>
      <c r="G1096" t="s">
        <v>1548</v>
      </c>
      <c r="H1096" t="s">
        <v>4</v>
      </c>
      <c r="I1096">
        <v>2025</v>
      </c>
      <c r="J1096" t="s">
        <v>1554</v>
      </c>
      <c r="K1096" t="s">
        <v>1557</v>
      </c>
      <c r="L1096">
        <v>1816584</v>
      </c>
      <c r="M1096">
        <v>1496248</v>
      </c>
      <c r="N1096">
        <v>320336</v>
      </c>
      <c r="O1096">
        <v>45</v>
      </c>
      <c r="P1096" t="str">
        <f t="shared" si="35"/>
        <v>adult</v>
      </c>
      <c r="Q1096" t="s">
        <v>1559</v>
      </c>
      <c r="R1096" t="s">
        <v>1565</v>
      </c>
      <c r="S1096" t="s">
        <v>1569</v>
      </c>
      <c r="T1096">
        <v>349995</v>
      </c>
      <c r="U1096">
        <v>5</v>
      </c>
      <c r="V1096" t="s">
        <v>1585</v>
      </c>
      <c r="W1096" t="s">
        <v>1594</v>
      </c>
      <c r="X1096">
        <v>17.63</v>
      </c>
    </row>
    <row r="1097" spans="1:24" x14ac:dyDescent="0.25">
      <c r="A1097" t="s">
        <v>1117</v>
      </c>
      <c r="B1097" s="4">
        <v>45874</v>
      </c>
      <c r="C1097" s="4" t="str">
        <f t="shared" si="34"/>
        <v>Aug</v>
      </c>
      <c r="D1097" t="s">
        <v>1522</v>
      </c>
      <c r="E1097" t="s">
        <v>1523</v>
      </c>
      <c r="F1097" t="s">
        <v>1534</v>
      </c>
      <c r="G1097" t="s">
        <v>1543</v>
      </c>
      <c r="H1097" t="s">
        <v>4</v>
      </c>
      <c r="I1097">
        <v>2026</v>
      </c>
      <c r="J1097" t="s">
        <v>1554</v>
      </c>
      <c r="K1097" t="s">
        <v>1556</v>
      </c>
      <c r="L1097">
        <v>1484672</v>
      </c>
      <c r="M1097">
        <v>1230399</v>
      </c>
      <c r="N1097">
        <v>254273</v>
      </c>
      <c r="O1097">
        <v>30</v>
      </c>
      <c r="P1097" t="str">
        <f t="shared" si="35"/>
        <v>young</v>
      </c>
      <c r="Q1097" t="s">
        <v>1558</v>
      </c>
      <c r="R1097" t="s">
        <v>1564</v>
      </c>
      <c r="S1097" t="s">
        <v>1568</v>
      </c>
      <c r="T1097">
        <v>472997</v>
      </c>
      <c r="U1097">
        <v>2</v>
      </c>
      <c r="V1097" t="s">
        <v>1585</v>
      </c>
      <c r="W1097" t="s">
        <v>1594</v>
      </c>
      <c r="X1097">
        <v>17.13</v>
      </c>
    </row>
    <row r="1098" spans="1:24" x14ac:dyDescent="0.25">
      <c r="A1098" t="s">
        <v>1118</v>
      </c>
      <c r="B1098" s="4">
        <v>45855</v>
      </c>
      <c r="C1098" s="4" t="str">
        <f t="shared" si="34"/>
        <v>Jul</v>
      </c>
      <c r="D1098" t="s">
        <v>1522</v>
      </c>
      <c r="E1098" t="s">
        <v>1524</v>
      </c>
      <c r="F1098" t="s">
        <v>1536</v>
      </c>
      <c r="G1098" t="s">
        <v>1540</v>
      </c>
      <c r="H1098" t="s">
        <v>1550</v>
      </c>
      <c r="I1098">
        <v>2024</v>
      </c>
      <c r="J1098" t="s">
        <v>1554</v>
      </c>
      <c r="K1098" t="s">
        <v>1556</v>
      </c>
      <c r="L1098">
        <v>1583336</v>
      </c>
      <c r="M1098">
        <v>1347733</v>
      </c>
      <c r="N1098">
        <v>235603</v>
      </c>
      <c r="O1098">
        <v>37</v>
      </c>
      <c r="P1098" t="str">
        <f t="shared" si="35"/>
        <v>adult</v>
      </c>
      <c r="Q1098" t="s">
        <v>1558</v>
      </c>
      <c r="R1098" t="s">
        <v>1565</v>
      </c>
      <c r="S1098" t="s">
        <v>1569</v>
      </c>
      <c r="T1098">
        <v>1003207</v>
      </c>
      <c r="U1098">
        <v>5</v>
      </c>
      <c r="V1098" t="s">
        <v>1579</v>
      </c>
      <c r="W1098" t="s">
        <v>1594</v>
      </c>
      <c r="X1098">
        <v>14.88</v>
      </c>
    </row>
    <row r="1099" spans="1:24" x14ac:dyDescent="0.25">
      <c r="A1099" t="s">
        <v>1119</v>
      </c>
      <c r="B1099" s="4">
        <v>45781</v>
      </c>
      <c r="C1099" s="4" t="str">
        <f t="shared" si="34"/>
        <v>May</v>
      </c>
      <c r="D1099" t="s">
        <v>1522</v>
      </c>
      <c r="E1099" t="s">
        <v>1525</v>
      </c>
      <c r="F1099" t="s">
        <v>1535</v>
      </c>
      <c r="G1099" t="s">
        <v>1545</v>
      </c>
      <c r="H1099" t="s">
        <v>4</v>
      </c>
      <c r="I1099">
        <v>2025</v>
      </c>
      <c r="J1099" t="s">
        <v>1554</v>
      </c>
      <c r="K1099" t="s">
        <v>1556</v>
      </c>
      <c r="L1099">
        <v>1326172</v>
      </c>
      <c r="M1099">
        <v>1201655</v>
      </c>
      <c r="N1099">
        <v>124517</v>
      </c>
      <c r="O1099">
        <v>45</v>
      </c>
      <c r="P1099" t="str">
        <f t="shared" si="35"/>
        <v>adult</v>
      </c>
      <c r="Q1099" t="s">
        <v>1558</v>
      </c>
      <c r="R1099" t="s">
        <v>1563</v>
      </c>
      <c r="S1099" t="s">
        <v>1568</v>
      </c>
      <c r="T1099">
        <v>1892525</v>
      </c>
      <c r="U1099">
        <v>5</v>
      </c>
      <c r="V1099" t="s">
        <v>1572</v>
      </c>
      <c r="W1099" t="s">
        <v>1592</v>
      </c>
      <c r="X1099">
        <v>9.39</v>
      </c>
    </row>
    <row r="1100" spans="1:24" x14ac:dyDescent="0.25">
      <c r="A1100" t="s">
        <v>1120</v>
      </c>
      <c r="B1100" s="4">
        <v>46069</v>
      </c>
      <c r="C1100" s="4" t="str">
        <f t="shared" si="34"/>
        <v>Feb</v>
      </c>
      <c r="D1100" t="s">
        <v>1522</v>
      </c>
      <c r="E1100" t="s">
        <v>1523</v>
      </c>
      <c r="F1100" t="s">
        <v>1528</v>
      </c>
      <c r="G1100" t="s">
        <v>1546</v>
      </c>
      <c r="H1100" t="s">
        <v>1550</v>
      </c>
      <c r="I1100">
        <v>2023</v>
      </c>
      <c r="J1100" t="s">
        <v>1554</v>
      </c>
      <c r="K1100" t="s">
        <v>1556</v>
      </c>
      <c r="L1100">
        <v>1544971</v>
      </c>
      <c r="M1100">
        <v>1308301</v>
      </c>
      <c r="N1100">
        <v>236670</v>
      </c>
      <c r="O1100">
        <v>51</v>
      </c>
      <c r="P1100" t="str">
        <f t="shared" si="35"/>
        <v>senior</v>
      </c>
      <c r="Q1100" t="s">
        <v>1560</v>
      </c>
      <c r="R1100" t="s">
        <v>1564</v>
      </c>
      <c r="S1100" t="s">
        <v>1567</v>
      </c>
      <c r="T1100">
        <v>620151</v>
      </c>
      <c r="U1100">
        <v>2</v>
      </c>
      <c r="V1100" t="s">
        <v>1589</v>
      </c>
      <c r="W1100" t="s">
        <v>1591</v>
      </c>
      <c r="X1100">
        <v>15.32</v>
      </c>
    </row>
    <row r="1101" spans="1:24" x14ac:dyDescent="0.25">
      <c r="A1101" t="s">
        <v>1121</v>
      </c>
      <c r="B1101" s="4">
        <v>45931</v>
      </c>
      <c r="C1101" s="4" t="str">
        <f t="shared" si="34"/>
        <v>Oct</v>
      </c>
      <c r="D1101" t="s">
        <v>1522</v>
      </c>
      <c r="E1101" t="s">
        <v>1524</v>
      </c>
      <c r="F1101" t="s">
        <v>1530</v>
      </c>
      <c r="G1101" t="s">
        <v>1546</v>
      </c>
      <c r="H1101" t="s">
        <v>4</v>
      </c>
      <c r="I1101">
        <v>2023</v>
      </c>
      <c r="J1101" t="s">
        <v>1554</v>
      </c>
      <c r="K1101" t="s">
        <v>1556</v>
      </c>
      <c r="L1101">
        <v>1712892</v>
      </c>
      <c r="M1101">
        <v>1477282</v>
      </c>
      <c r="N1101">
        <v>235610</v>
      </c>
      <c r="O1101">
        <v>37</v>
      </c>
      <c r="P1101" t="str">
        <f t="shared" si="35"/>
        <v>adult</v>
      </c>
      <c r="Q1101" t="s">
        <v>1558</v>
      </c>
      <c r="R1101" t="s">
        <v>1563</v>
      </c>
      <c r="S1101" t="s">
        <v>1570</v>
      </c>
      <c r="T1101">
        <v>1808768</v>
      </c>
      <c r="U1101">
        <v>3</v>
      </c>
      <c r="V1101" t="s">
        <v>1574</v>
      </c>
      <c r="W1101" t="s">
        <v>1593</v>
      </c>
      <c r="X1101">
        <v>13.76</v>
      </c>
    </row>
    <row r="1102" spans="1:24" x14ac:dyDescent="0.25">
      <c r="A1102" t="s">
        <v>1122</v>
      </c>
      <c r="B1102" s="4">
        <v>46112</v>
      </c>
      <c r="C1102" s="4" t="str">
        <f t="shared" si="34"/>
        <v>Mar</v>
      </c>
      <c r="D1102" t="s">
        <v>1522</v>
      </c>
      <c r="E1102" t="s">
        <v>1523</v>
      </c>
      <c r="F1102" t="s">
        <v>1528</v>
      </c>
      <c r="G1102" t="s">
        <v>1539</v>
      </c>
      <c r="H1102" t="s">
        <v>1551</v>
      </c>
      <c r="I1102">
        <v>2024</v>
      </c>
      <c r="J1102" t="s">
        <v>1554</v>
      </c>
      <c r="K1102" t="s">
        <v>1557</v>
      </c>
      <c r="L1102">
        <v>819778</v>
      </c>
      <c r="M1102">
        <v>711039</v>
      </c>
      <c r="N1102">
        <v>108739</v>
      </c>
      <c r="O1102">
        <v>44</v>
      </c>
      <c r="P1102" t="str">
        <f t="shared" si="35"/>
        <v>adult</v>
      </c>
      <c r="Q1102" t="s">
        <v>1558</v>
      </c>
      <c r="R1102" t="s">
        <v>1565</v>
      </c>
      <c r="S1102" t="s">
        <v>1567</v>
      </c>
      <c r="T1102">
        <v>106966</v>
      </c>
      <c r="U1102">
        <v>1</v>
      </c>
      <c r="V1102" t="s">
        <v>1586</v>
      </c>
      <c r="W1102" t="s">
        <v>1591</v>
      </c>
      <c r="X1102">
        <v>13.26</v>
      </c>
    </row>
    <row r="1103" spans="1:24" x14ac:dyDescent="0.25">
      <c r="A1103" t="s">
        <v>1123</v>
      </c>
      <c r="B1103" s="4">
        <v>45703</v>
      </c>
      <c r="C1103" s="4" t="str">
        <f t="shared" si="34"/>
        <v>Feb</v>
      </c>
      <c r="D1103" t="s">
        <v>1522</v>
      </c>
      <c r="E1103" t="s">
        <v>1525</v>
      </c>
      <c r="F1103" t="s">
        <v>1534</v>
      </c>
      <c r="G1103" t="s">
        <v>1543</v>
      </c>
      <c r="H1103" t="s">
        <v>1550</v>
      </c>
      <c r="I1103">
        <v>2025</v>
      </c>
      <c r="J1103" t="s">
        <v>1554</v>
      </c>
      <c r="K1103" t="s">
        <v>1557</v>
      </c>
      <c r="L1103">
        <v>1644659</v>
      </c>
      <c r="M1103">
        <v>1334922</v>
      </c>
      <c r="N1103">
        <v>309737</v>
      </c>
      <c r="O1103">
        <v>24</v>
      </c>
      <c r="P1103" t="str">
        <f t="shared" si="35"/>
        <v>young</v>
      </c>
      <c r="Q1103" t="s">
        <v>1558</v>
      </c>
      <c r="R1103" t="s">
        <v>1561</v>
      </c>
      <c r="S1103" t="s">
        <v>1568</v>
      </c>
      <c r="T1103">
        <v>165667</v>
      </c>
      <c r="U1103">
        <v>1</v>
      </c>
      <c r="V1103" t="s">
        <v>1578</v>
      </c>
      <c r="W1103" t="s">
        <v>1591</v>
      </c>
      <c r="X1103">
        <v>18.829999999999998</v>
      </c>
    </row>
    <row r="1104" spans="1:24" x14ac:dyDescent="0.25">
      <c r="A1104" t="s">
        <v>1124</v>
      </c>
      <c r="B1104" s="4">
        <v>45773</v>
      </c>
      <c r="C1104" s="4" t="str">
        <f t="shared" si="34"/>
        <v>Apr</v>
      </c>
      <c r="D1104" t="s">
        <v>1522</v>
      </c>
      <c r="E1104" t="s">
        <v>1524</v>
      </c>
      <c r="F1104" t="s">
        <v>1533</v>
      </c>
      <c r="G1104" t="s">
        <v>1548</v>
      </c>
      <c r="H1104" t="s">
        <v>4</v>
      </c>
      <c r="I1104">
        <v>2024</v>
      </c>
      <c r="J1104" t="s">
        <v>1554</v>
      </c>
      <c r="K1104" t="s">
        <v>1557</v>
      </c>
      <c r="L1104">
        <v>1847167</v>
      </c>
      <c r="M1104">
        <v>1650825</v>
      </c>
      <c r="N1104">
        <v>196342</v>
      </c>
      <c r="O1104">
        <v>40</v>
      </c>
      <c r="P1104" t="str">
        <f t="shared" si="35"/>
        <v>adult</v>
      </c>
      <c r="Q1104" t="s">
        <v>1559</v>
      </c>
      <c r="R1104" t="s">
        <v>1565</v>
      </c>
      <c r="S1104" t="s">
        <v>1567</v>
      </c>
      <c r="T1104">
        <v>1804575</v>
      </c>
      <c r="U1104">
        <v>4</v>
      </c>
      <c r="V1104" t="s">
        <v>1573</v>
      </c>
      <c r="W1104" t="s">
        <v>1592</v>
      </c>
      <c r="X1104">
        <v>10.63</v>
      </c>
    </row>
    <row r="1105" spans="1:24" x14ac:dyDescent="0.25">
      <c r="A1105" t="s">
        <v>1125</v>
      </c>
      <c r="B1105" s="4">
        <v>45860</v>
      </c>
      <c r="C1105" s="4" t="str">
        <f t="shared" si="34"/>
        <v>Jul</v>
      </c>
      <c r="D1105" t="s">
        <v>1522</v>
      </c>
      <c r="E1105" t="s">
        <v>1526</v>
      </c>
      <c r="F1105" t="s">
        <v>1536</v>
      </c>
      <c r="G1105" t="s">
        <v>1543</v>
      </c>
      <c r="H1105" t="s">
        <v>1550</v>
      </c>
      <c r="I1105">
        <v>2026</v>
      </c>
      <c r="J1105" t="s">
        <v>1554</v>
      </c>
      <c r="K1105" t="s">
        <v>1556</v>
      </c>
      <c r="L1105">
        <v>1671525</v>
      </c>
      <c r="M1105">
        <v>1432325</v>
      </c>
      <c r="N1105">
        <v>239200</v>
      </c>
      <c r="O1105">
        <v>43</v>
      </c>
      <c r="P1105" t="str">
        <f t="shared" si="35"/>
        <v>adult</v>
      </c>
      <c r="Q1105" t="s">
        <v>1558</v>
      </c>
      <c r="R1105" t="s">
        <v>1566</v>
      </c>
      <c r="S1105" t="s">
        <v>1569</v>
      </c>
      <c r="T1105">
        <v>1239932</v>
      </c>
      <c r="U1105">
        <v>5</v>
      </c>
      <c r="V1105" t="s">
        <v>1579</v>
      </c>
      <c r="W1105" t="s">
        <v>1594</v>
      </c>
      <c r="X1105">
        <v>14.31</v>
      </c>
    </row>
    <row r="1106" spans="1:24" x14ac:dyDescent="0.25">
      <c r="A1106" t="s">
        <v>1126</v>
      </c>
      <c r="B1106" s="4">
        <v>46059</v>
      </c>
      <c r="C1106" s="4" t="str">
        <f t="shared" si="34"/>
        <v>Feb</v>
      </c>
      <c r="D1106" t="s">
        <v>1522</v>
      </c>
      <c r="E1106" t="s">
        <v>1526</v>
      </c>
      <c r="F1106" t="s">
        <v>1535</v>
      </c>
      <c r="G1106" t="s">
        <v>1542</v>
      </c>
      <c r="H1106" t="s">
        <v>1550</v>
      </c>
      <c r="I1106">
        <v>2025</v>
      </c>
      <c r="J1106" t="s">
        <v>1554</v>
      </c>
      <c r="K1106" t="s">
        <v>1557</v>
      </c>
      <c r="L1106">
        <v>1382965</v>
      </c>
      <c r="M1106">
        <v>1277714</v>
      </c>
      <c r="N1106">
        <v>105251</v>
      </c>
      <c r="O1106">
        <v>64</v>
      </c>
      <c r="P1106" t="str">
        <f t="shared" si="35"/>
        <v>senior</v>
      </c>
      <c r="Q1106" t="s">
        <v>1559</v>
      </c>
      <c r="R1106" t="s">
        <v>1561</v>
      </c>
      <c r="S1106" t="s">
        <v>1569</v>
      </c>
      <c r="T1106">
        <v>1587722</v>
      </c>
      <c r="U1106">
        <v>1</v>
      </c>
      <c r="V1106" t="s">
        <v>1589</v>
      </c>
      <c r="W1106" t="s">
        <v>1591</v>
      </c>
      <c r="X1106">
        <v>7.61</v>
      </c>
    </row>
    <row r="1107" spans="1:24" x14ac:dyDescent="0.25">
      <c r="A1107" t="s">
        <v>1127</v>
      </c>
      <c r="B1107" s="4">
        <v>46058</v>
      </c>
      <c r="C1107" s="4" t="str">
        <f t="shared" si="34"/>
        <v>Feb</v>
      </c>
      <c r="D1107" t="s">
        <v>1522</v>
      </c>
      <c r="E1107" t="s">
        <v>1524</v>
      </c>
      <c r="F1107" t="s">
        <v>1536</v>
      </c>
      <c r="G1107" t="s">
        <v>1543</v>
      </c>
      <c r="H1107" t="s">
        <v>1550</v>
      </c>
      <c r="I1107">
        <v>2025</v>
      </c>
      <c r="J1107" t="s">
        <v>1554</v>
      </c>
      <c r="K1107" t="s">
        <v>1556</v>
      </c>
      <c r="L1107">
        <v>1190466</v>
      </c>
      <c r="M1107">
        <v>1097291</v>
      </c>
      <c r="N1107">
        <v>93175</v>
      </c>
      <c r="O1107">
        <v>62</v>
      </c>
      <c r="P1107" t="str">
        <f t="shared" si="35"/>
        <v>senior</v>
      </c>
      <c r="Q1107" t="s">
        <v>1560</v>
      </c>
      <c r="R1107" t="s">
        <v>1564</v>
      </c>
      <c r="S1107" t="s">
        <v>1568</v>
      </c>
      <c r="T1107">
        <v>1737544</v>
      </c>
      <c r="U1107">
        <v>2</v>
      </c>
      <c r="V1107" t="s">
        <v>1589</v>
      </c>
      <c r="W1107" t="s">
        <v>1591</v>
      </c>
      <c r="X1107">
        <v>7.83</v>
      </c>
    </row>
    <row r="1108" spans="1:24" x14ac:dyDescent="0.25">
      <c r="A1108" t="s">
        <v>1128</v>
      </c>
      <c r="B1108" s="4">
        <v>45778</v>
      </c>
      <c r="C1108" s="4" t="str">
        <f t="shared" si="34"/>
        <v>May</v>
      </c>
      <c r="D1108" t="s">
        <v>1522</v>
      </c>
      <c r="E1108" t="s">
        <v>1524</v>
      </c>
      <c r="F1108" t="s">
        <v>1535</v>
      </c>
      <c r="G1108" t="s">
        <v>1546</v>
      </c>
      <c r="H1108" t="s">
        <v>4</v>
      </c>
      <c r="I1108">
        <v>2024</v>
      </c>
      <c r="J1108" t="s">
        <v>1554</v>
      </c>
      <c r="K1108" t="s">
        <v>1557</v>
      </c>
      <c r="L1108">
        <v>1399992</v>
      </c>
      <c r="M1108">
        <v>1326041</v>
      </c>
      <c r="N1108">
        <v>73951</v>
      </c>
      <c r="O1108">
        <v>22</v>
      </c>
      <c r="P1108" t="str">
        <f t="shared" si="35"/>
        <v>young</v>
      </c>
      <c r="Q1108" t="s">
        <v>1558</v>
      </c>
      <c r="R1108" t="s">
        <v>1561</v>
      </c>
      <c r="S1108" t="s">
        <v>1567</v>
      </c>
      <c r="T1108">
        <v>1946427</v>
      </c>
      <c r="U1108">
        <v>1</v>
      </c>
      <c r="V1108" t="s">
        <v>1572</v>
      </c>
      <c r="W1108" t="s">
        <v>1592</v>
      </c>
      <c r="X1108">
        <v>5.28</v>
      </c>
    </row>
    <row r="1109" spans="1:24" x14ac:dyDescent="0.25">
      <c r="A1109" t="s">
        <v>1129</v>
      </c>
      <c r="B1109" s="4">
        <v>45660</v>
      </c>
      <c r="C1109" s="4" t="str">
        <f t="shared" si="34"/>
        <v>Jan</v>
      </c>
      <c r="D1109" t="s">
        <v>1522</v>
      </c>
      <c r="E1109" t="s">
        <v>1527</v>
      </c>
      <c r="F1109" t="s">
        <v>1533</v>
      </c>
      <c r="G1109" t="s">
        <v>1546</v>
      </c>
      <c r="H1109" t="s">
        <v>4</v>
      </c>
      <c r="I1109">
        <v>2025</v>
      </c>
      <c r="J1109" t="s">
        <v>1554</v>
      </c>
      <c r="K1109" t="s">
        <v>1557</v>
      </c>
      <c r="L1109">
        <v>1502359</v>
      </c>
      <c r="M1109">
        <v>1375461</v>
      </c>
      <c r="N1109">
        <v>126898</v>
      </c>
      <c r="O1109">
        <v>60</v>
      </c>
      <c r="P1109" t="str">
        <f t="shared" si="35"/>
        <v>senior</v>
      </c>
      <c r="Q1109" t="s">
        <v>1558</v>
      </c>
      <c r="R1109" t="s">
        <v>1566</v>
      </c>
      <c r="S1109" t="s">
        <v>1569</v>
      </c>
      <c r="T1109">
        <v>1476291</v>
      </c>
      <c r="U1109">
        <v>1</v>
      </c>
      <c r="V1109" t="s">
        <v>1571</v>
      </c>
      <c r="W1109" t="s">
        <v>1591</v>
      </c>
      <c r="X1109">
        <v>8.4499999999999993</v>
      </c>
    </row>
    <row r="1110" spans="1:24" x14ac:dyDescent="0.25">
      <c r="A1110" t="s">
        <v>1130</v>
      </c>
      <c r="B1110" s="4">
        <v>45996</v>
      </c>
      <c r="C1110" s="4" t="str">
        <f t="shared" si="34"/>
        <v>Dec</v>
      </c>
      <c r="D1110" t="s">
        <v>1522</v>
      </c>
      <c r="E1110" t="s">
        <v>1527</v>
      </c>
      <c r="F1110" t="s">
        <v>1537</v>
      </c>
      <c r="G1110" t="s">
        <v>1543</v>
      </c>
      <c r="H1110" t="s">
        <v>1551</v>
      </c>
      <c r="I1110">
        <v>2024</v>
      </c>
      <c r="J1110" t="s">
        <v>1554</v>
      </c>
      <c r="K1110" t="s">
        <v>1557</v>
      </c>
      <c r="L1110">
        <v>850112</v>
      </c>
      <c r="M1110">
        <v>722364</v>
      </c>
      <c r="N1110">
        <v>127748</v>
      </c>
      <c r="O1110">
        <v>58</v>
      </c>
      <c r="P1110" t="str">
        <f t="shared" si="35"/>
        <v>senior</v>
      </c>
      <c r="Q1110" t="s">
        <v>1558</v>
      </c>
      <c r="R1110" t="s">
        <v>1566</v>
      </c>
      <c r="S1110" t="s">
        <v>1567</v>
      </c>
      <c r="T1110">
        <v>669648</v>
      </c>
      <c r="U1110">
        <v>2</v>
      </c>
      <c r="V1110" t="s">
        <v>1575</v>
      </c>
      <c r="W1110" t="s">
        <v>1593</v>
      </c>
      <c r="X1110">
        <v>15.03</v>
      </c>
    </row>
    <row r="1111" spans="1:24" x14ac:dyDescent="0.25">
      <c r="A1111" t="s">
        <v>1131</v>
      </c>
      <c r="B1111" s="4">
        <v>45923</v>
      </c>
      <c r="C1111" s="4" t="str">
        <f t="shared" si="34"/>
        <v>Sep</v>
      </c>
      <c r="D1111" t="s">
        <v>1522</v>
      </c>
      <c r="E1111" t="s">
        <v>1526</v>
      </c>
      <c r="F1111" t="s">
        <v>1530</v>
      </c>
      <c r="G1111" t="s">
        <v>1543</v>
      </c>
      <c r="H1111" t="s">
        <v>4</v>
      </c>
      <c r="I1111">
        <v>2024</v>
      </c>
      <c r="J1111" t="s">
        <v>1554</v>
      </c>
      <c r="K1111" t="s">
        <v>1556</v>
      </c>
      <c r="L1111">
        <v>1444751</v>
      </c>
      <c r="M1111">
        <v>1234710</v>
      </c>
      <c r="N1111">
        <v>210041</v>
      </c>
      <c r="O1111">
        <v>22</v>
      </c>
      <c r="P1111" t="str">
        <f t="shared" si="35"/>
        <v>young</v>
      </c>
      <c r="Q1111" t="s">
        <v>1559</v>
      </c>
      <c r="R1111" t="s">
        <v>1563</v>
      </c>
      <c r="S1111" t="s">
        <v>1567</v>
      </c>
      <c r="T1111">
        <v>1348414</v>
      </c>
      <c r="U1111">
        <v>4</v>
      </c>
      <c r="V1111" t="s">
        <v>1577</v>
      </c>
      <c r="W1111" t="s">
        <v>1594</v>
      </c>
      <c r="X1111">
        <v>14.54</v>
      </c>
    </row>
    <row r="1112" spans="1:24" x14ac:dyDescent="0.25">
      <c r="A1112" t="s">
        <v>1132</v>
      </c>
      <c r="B1112" s="4">
        <v>45764</v>
      </c>
      <c r="C1112" s="4" t="str">
        <f t="shared" si="34"/>
        <v>Apr</v>
      </c>
      <c r="D1112" t="s">
        <v>1522</v>
      </c>
      <c r="E1112" t="s">
        <v>1524</v>
      </c>
      <c r="F1112" t="s">
        <v>1534</v>
      </c>
      <c r="G1112" t="s">
        <v>1542</v>
      </c>
      <c r="H1112" t="s">
        <v>1550</v>
      </c>
      <c r="I1112">
        <v>2024</v>
      </c>
      <c r="J1112" t="s">
        <v>1554</v>
      </c>
      <c r="K1112" t="s">
        <v>1556</v>
      </c>
      <c r="L1112">
        <v>1221127</v>
      </c>
      <c r="M1112">
        <v>1116653</v>
      </c>
      <c r="N1112">
        <v>104474</v>
      </c>
      <c r="O1112">
        <v>42</v>
      </c>
      <c r="P1112" t="str">
        <f t="shared" si="35"/>
        <v>adult</v>
      </c>
      <c r="Q1112" t="s">
        <v>1558</v>
      </c>
      <c r="R1112" t="s">
        <v>1564</v>
      </c>
      <c r="S1112" t="s">
        <v>1568</v>
      </c>
      <c r="T1112">
        <v>947813</v>
      </c>
      <c r="U1112">
        <v>2</v>
      </c>
      <c r="V1112" t="s">
        <v>1573</v>
      </c>
      <c r="W1112" t="s">
        <v>1592</v>
      </c>
      <c r="X1112">
        <v>8.56</v>
      </c>
    </row>
    <row r="1113" spans="1:24" x14ac:dyDescent="0.25">
      <c r="A1113" t="s">
        <v>1133</v>
      </c>
      <c r="B1113" s="4">
        <v>46076</v>
      </c>
      <c r="C1113" s="4" t="str">
        <f t="shared" si="34"/>
        <v>Feb</v>
      </c>
      <c r="D1113" t="s">
        <v>1522</v>
      </c>
      <c r="E1113" t="s">
        <v>1526</v>
      </c>
      <c r="F1113" t="s">
        <v>1532</v>
      </c>
      <c r="G1113" t="s">
        <v>1549</v>
      </c>
      <c r="H1113" t="s">
        <v>1550</v>
      </c>
      <c r="I1113">
        <v>2023</v>
      </c>
      <c r="J1113" t="s">
        <v>1554</v>
      </c>
      <c r="K1113" t="s">
        <v>1557</v>
      </c>
      <c r="L1113">
        <v>1307222</v>
      </c>
      <c r="M1113">
        <v>1155896</v>
      </c>
      <c r="N1113">
        <v>151326</v>
      </c>
      <c r="O1113">
        <v>36</v>
      </c>
      <c r="P1113" t="str">
        <f t="shared" si="35"/>
        <v>adult</v>
      </c>
      <c r="Q1113" t="s">
        <v>1559</v>
      </c>
      <c r="R1113" t="s">
        <v>1562</v>
      </c>
      <c r="S1113" t="s">
        <v>1568</v>
      </c>
      <c r="T1113">
        <v>1794815</v>
      </c>
      <c r="U1113">
        <v>5</v>
      </c>
      <c r="V1113" t="s">
        <v>1589</v>
      </c>
      <c r="W1113" t="s">
        <v>1591</v>
      </c>
      <c r="X1113">
        <v>11.58</v>
      </c>
    </row>
    <row r="1114" spans="1:24" x14ac:dyDescent="0.25">
      <c r="A1114" t="s">
        <v>1134</v>
      </c>
      <c r="B1114" s="4">
        <v>45684</v>
      </c>
      <c r="C1114" s="4" t="str">
        <f t="shared" si="34"/>
        <v>Jan</v>
      </c>
      <c r="D1114" t="s">
        <v>1522</v>
      </c>
      <c r="E1114" t="s">
        <v>1523</v>
      </c>
      <c r="F1114" t="s">
        <v>1528</v>
      </c>
      <c r="G1114" t="s">
        <v>1545</v>
      </c>
      <c r="H1114" t="s">
        <v>1551</v>
      </c>
      <c r="I1114">
        <v>2026</v>
      </c>
      <c r="J1114" t="s">
        <v>1554</v>
      </c>
      <c r="K1114" t="s">
        <v>1556</v>
      </c>
      <c r="L1114">
        <v>821876</v>
      </c>
      <c r="M1114">
        <v>783950</v>
      </c>
      <c r="N1114">
        <v>37926</v>
      </c>
      <c r="O1114">
        <v>64</v>
      </c>
      <c r="P1114" t="str">
        <f t="shared" si="35"/>
        <v>senior</v>
      </c>
      <c r="Q1114" t="s">
        <v>1558</v>
      </c>
      <c r="R1114" t="s">
        <v>1565</v>
      </c>
      <c r="S1114" t="s">
        <v>1567</v>
      </c>
      <c r="T1114">
        <v>1492572</v>
      </c>
      <c r="U1114">
        <v>3</v>
      </c>
      <c r="V1114" t="s">
        <v>1571</v>
      </c>
      <c r="W1114" t="s">
        <v>1591</v>
      </c>
      <c r="X1114">
        <v>4.6100000000000003</v>
      </c>
    </row>
    <row r="1115" spans="1:24" x14ac:dyDescent="0.25">
      <c r="A1115" t="s">
        <v>1135</v>
      </c>
      <c r="B1115" s="4">
        <v>45751</v>
      </c>
      <c r="C1115" s="4" t="str">
        <f t="shared" si="34"/>
        <v>Apr</v>
      </c>
      <c r="D1115" t="s">
        <v>1522</v>
      </c>
      <c r="E1115" t="s">
        <v>1525</v>
      </c>
      <c r="F1115" t="s">
        <v>1537</v>
      </c>
      <c r="G1115" t="s">
        <v>1547</v>
      </c>
      <c r="H1115" t="s">
        <v>1550</v>
      </c>
      <c r="I1115">
        <v>2022</v>
      </c>
      <c r="J1115" t="s">
        <v>1554</v>
      </c>
      <c r="K1115" t="s">
        <v>1556</v>
      </c>
      <c r="L1115">
        <v>1200084</v>
      </c>
      <c r="M1115">
        <v>1086059</v>
      </c>
      <c r="N1115">
        <v>114025</v>
      </c>
      <c r="O1115">
        <v>57</v>
      </c>
      <c r="P1115" t="str">
        <f t="shared" si="35"/>
        <v>senior</v>
      </c>
      <c r="Q1115" t="s">
        <v>1559</v>
      </c>
      <c r="R1115" t="s">
        <v>1563</v>
      </c>
      <c r="S1115" t="s">
        <v>1570</v>
      </c>
      <c r="T1115">
        <v>1411075</v>
      </c>
      <c r="U1115">
        <v>1</v>
      </c>
      <c r="V1115" t="s">
        <v>1573</v>
      </c>
      <c r="W1115" t="s">
        <v>1592</v>
      </c>
      <c r="X1115">
        <v>9.5</v>
      </c>
    </row>
    <row r="1116" spans="1:24" x14ac:dyDescent="0.25">
      <c r="A1116" t="s">
        <v>1136</v>
      </c>
      <c r="B1116" s="4">
        <v>45958</v>
      </c>
      <c r="C1116" s="4" t="str">
        <f t="shared" si="34"/>
        <v>Oct</v>
      </c>
      <c r="D1116" t="s">
        <v>1522</v>
      </c>
      <c r="E1116" t="s">
        <v>1527</v>
      </c>
      <c r="F1116" t="s">
        <v>1531</v>
      </c>
      <c r="G1116" t="s">
        <v>1542</v>
      </c>
      <c r="H1116" t="s">
        <v>1550</v>
      </c>
      <c r="I1116">
        <v>2022</v>
      </c>
      <c r="J1116" t="s">
        <v>1554</v>
      </c>
      <c r="K1116" t="s">
        <v>1556</v>
      </c>
      <c r="L1116">
        <v>1166181</v>
      </c>
      <c r="M1116">
        <v>1056443</v>
      </c>
      <c r="N1116">
        <v>109738</v>
      </c>
      <c r="O1116">
        <v>48</v>
      </c>
      <c r="P1116" t="str">
        <f t="shared" si="35"/>
        <v>adult</v>
      </c>
      <c r="Q1116" t="s">
        <v>1558</v>
      </c>
      <c r="R1116" t="s">
        <v>1563</v>
      </c>
      <c r="S1116" t="s">
        <v>1568</v>
      </c>
      <c r="T1116">
        <v>1948114</v>
      </c>
      <c r="U1116">
        <v>1</v>
      </c>
      <c r="V1116" t="s">
        <v>1574</v>
      </c>
      <c r="W1116" t="s">
        <v>1593</v>
      </c>
      <c r="X1116">
        <v>9.41</v>
      </c>
    </row>
    <row r="1117" spans="1:24" x14ac:dyDescent="0.25">
      <c r="A1117" t="s">
        <v>1137</v>
      </c>
      <c r="B1117" s="4">
        <v>46161</v>
      </c>
      <c r="C1117" s="4" t="str">
        <f t="shared" si="34"/>
        <v>May</v>
      </c>
      <c r="D1117" t="s">
        <v>1522</v>
      </c>
      <c r="E1117" t="s">
        <v>1527</v>
      </c>
      <c r="F1117" t="s">
        <v>1528</v>
      </c>
      <c r="G1117" t="s">
        <v>1542</v>
      </c>
      <c r="H1117" t="s">
        <v>4</v>
      </c>
      <c r="I1117">
        <v>2023</v>
      </c>
      <c r="J1117" t="s">
        <v>1554</v>
      </c>
      <c r="K1117" t="s">
        <v>1557</v>
      </c>
      <c r="L1117">
        <v>1410332</v>
      </c>
      <c r="M1117">
        <v>1280310</v>
      </c>
      <c r="N1117">
        <v>130022</v>
      </c>
      <c r="O1117">
        <v>23</v>
      </c>
      <c r="P1117" t="str">
        <f t="shared" si="35"/>
        <v>young</v>
      </c>
      <c r="Q1117" t="s">
        <v>1558</v>
      </c>
      <c r="R1117" t="s">
        <v>1565</v>
      </c>
      <c r="S1117" t="s">
        <v>1569</v>
      </c>
      <c r="T1117">
        <v>838613</v>
      </c>
      <c r="U1117">
        <v>4</v>
      </c>
      <c r="V1117" t="s">
        <v>1590</v>
      </c>
      <c r="W1117" t="s">
        <v>1592</v>
      </c>
      <c r="X1117">
        <v>9.2200000000000006</v>
      </c>
    </row>
    <row r="1118" spans="1:24" x14ac:dyDescent="0.25">
      <c r="A1118" t="s">
        <v>1138</v>
      </c>
      <c r="B1118" s="4">
        <v>45866</v>
      </c>
      <c r="C1118" s="4" t="str">
        <f t="shared" si="34"/>
        <v>Jul</v>
      </c>
      <c r="D1118" t="s">
        <v>1522</v>
      </c>
      <c r="E1118" t="s">
        <v>1524</v>
      </c>
      <c r="F1118" t="s">
        <v>1537</v>
      </c>
      <c r="G1118" t="s">
        <v>1544</v>
      </c>
      <c r="H1118" t="s">
        <v>4</v>
      </c>
      <c r="I1118">
        <v>2024</v>
      </c>
      <c r="J1118" t="s">
        <v>1554</v>
      </c>
      <c r="K1118" t="s">
        <v>1556</v>
      </c>
      <c r="L1118">
        <v>1254954</v>
      </c>
      <c r="M1118">
        <v>1097172</v>
      </c>
      <c r="N1118">
        <v>157782</v>
      </c>
      <c r="O1118">
        <v>38</v>
      </c>
      <c r="P1118" t="str">
        <f t="shared" si="35"/>
        <v>adult</v>
      </c>
      <c r="Q1118" t="s">
        <v>1559</v>
      </c>
      <c r="R1118" t="s">
        <v>1564</v>
      </c>
      <c r="S1118" t="s">
        <v>1569</v>
      </c>
      <c r="T1118">
        <v>646988</v>
      </c>
      <c r="U1118">
        <v>1</v>
      </c>
      <c r="V1118" t="s">
        <v>1579</v>
      </c>
      <c r="W1118" t="s">
        <v>1594</v>
      </c>
      <c r="X1118">
        <v>12.57</v>
      </c>
    </row>
    <row r="1119" spans="1:24" x14ac:dyDescent="0.25">
      <c r="A1119" t="s">
        <v>1139</v>
      </c>
      <c r="B1119" s="4">
        <v>45936</v>
      </c>
      <c r="C1119" s="4" t="str">
        <f t="shared" si="34"/>
        <v>Oct</v>
      </c>
      <c r="D1119" t="s">
        <v>1522</v>
      </c>
      <c r="E1119" t="s">
        <v>1526</v>
      </c>
      <c r="F1119" t="s">
        <v>1537</v>
      </c>
      <c r="G1119" t="s">
        <v>1547</v>
      </c>
      <c r="H1119" t="s">
        <v>1551</v>
      </c>
      <c r="I1119">
        <v>2025</v>
      </c>
      <c r="J1119" t="s">
        <v>1554</v>
      </c>
      <c r="K1119" t="s">
        <v>1556</v>
      </c>
      <c r="L1119">
        <v>1083723</v>
      </c>
      <c r="M1119">
        <v>907712</v>
      </c>
      <c r="N1119">
        <v>176011</v>
      </c>
      <c r="O1119">
        <v>42</v>
      </c>
      <c r="P1119" t="str">
        <f t="shared" si="35"/>
        <v>adult</v>
      </c>
      <c r="Q1119" t="s">
        <v>1559</v>
      </c>
      <c r="R1119" t="s">
        <v>1565</v>
      </c>
      <c r="S1119" t="s">
        <v>1567</v>
      </c>
      <c r="T1119">
        <v>998194</v>
      </c>
      <c r="U1119">
        <v>1</v>
      </c>
      <c r="V1119" t="s">
        <v>1574</v>
      </c>
      <c r="W1119" t="s">
        <v>1593</v>
      </c>
      <c r="X1119">
        <v>16.239999999999998</v>
      </c>
    </row>
    <row r="1120" spans="1:24" x14ac:dyDescent="0.25">
      <c r="A1120" t="s">
        <v>1140</v>
      </c>
      <c r="B1120" s="4">
        <v>46060</v>
      </c>
      <c r="C1120" s="4" t="str">
        <f t="shared" si="34"/>
        <v>Feb</v>
      </c>
      <c r="D1120" t="s">
        <v>1522</v>
      </c>
      <c r="E1120" t="s">
        <v>1525</v>
      </c>
      <c r="F1120" t="s">
        <v>1533</v>
      </c>
      <c r="G1120" t="s">
        <v>1544</v>
      </c>
      <c r="H1120" t="s">
        <v>1551</v>
      </c>
      <c r="I1120">
        <v>2024</v>
      </c>
      <c r="J1120" t="s">
        <v>1554</v>
      </c>
      <c r="K1120" t="s">
        <v>1557</v>
      </c>
      <c r="L1120">
        <v>1044083</v>
      </c>
      <c r="M1120">
        <v>928362</v>
      </c>
      <c r="N1120">
        <v>115721</v>
      </c>
      <c r="O1120">
        <v>42</v>
      </c>
      <c r="P1120" t="str">
        <f t="shared" si="35"/>
        <v>adult</v>
      </c>
      <c r="Q1120" t="s">
        <v>1559</v>
      </c>
      <c r="R1120" t="s">
        <v>1563</v>
      </c>
      <c r="S1120" t="s">
        <v>1570</v>
      </c>
      <c r="T1120">
        <v>1422788</v>
      </c>
      <c r="U1120">
        <v>2</v>
      </c>
      <c r="V1120" t="s">
        <v>1589</v>
      </c>
      <c r="W1120" t="s">
        <v>1591</v>
      </c>
      <c r="X1120">
        <v>11.08</v>
      </c>
    </row>
    <row r="1121" spans="1:24" x14ac:dyDescent="0.25">
      <c r="A1121" t="s">
        <v>1141</v>
      </c>
      <c r="B1121" s="4">
        <v>45919</v>
      </c>
      <c r="C1121" s="4" t="str">
        <f t="shared" si="34"/>
        <v>Sep</v>
      </c>
      <c r="D1121" t="s">
        <v>1522</v>
      </c>
      <c r="E1121" t="s">
        <v>1526</v>
      </c>
      <c r="F1121" t="s">
        <v>1535</v>
      </c>
      <c r="G1121" t="s">
        <v>1538</v>
      </c>
      <c r="H1121" t="s">
        <v>1550</v>
      </c>
      <c r="I1121">
        <v>2025</v>
      </c>
      <c r="J1121" t="s">
        <v>1554</v>
      </c>
      <c r="K1121" t="s">
        <v>1557</v>
      </c>
      <c r="L1121">
        <v>1530458</v>
      </c>
      <c r="M1121">
        <v>1247519</v>
      </c>
      <c r="N1121">
        <v>282939</v>
      </c>
      <c r="O1121">
        <v>23</v>
      </c>
      <c r="P1121" t="str">
        <f t="shared" si="35"/>
        <v>young</v>
      </c>
      <c r="Q1121" t="s">
        <v>1558</v>
      </c>
      <c r="R1121" t="s">
        <v>1564</v>
      </c>
      <c r="S1121" t="s">
        <v>1567</v>
      </c>
      <c r="T1121">
        <v>696768</v>
      </c>
      <c r="U1121">
        <v>3</v>
      </c>
      <c r="V1121" t="s">
        <v>1577</v>
      </c>
      <c r="W1121" t="s">
        <v>1594</v>
      </c>
      <c r="X1121">
        <v>18.489999999999998</v>
      </c>
    </row>
    <row r="1122" spans="1:24" x14ac:dyDescent="0.25">
      <c r="A1122" t="s">
        <v>1142</v>
      </c>
      <c r="B1122" s="4">
        <v>45730</v>
      </c>
      <c r="C1122" s="4" t="str">
        <f t="shared" si="34"/>
        <v>Mar</v>
      </c>
      <c r="D1122" t="s">
        <v>1522</v>
      </c>
      <c r="E1122" t="s">
        <v>1527</v>
      </c>
      <c r="F1122" t="s">
        <v>1536</v>
      </c>
      <c r="G1122" t="s">
        <v>1545</v>
      </c>
      <c r="H1122" t="s">
        <v>1550</v>
      </c>
      <c r="I1122">
        <v>2024</v>
      </c>
      <c r="J1122" t="s">
        <v>1554</v>
      </c>
      <c r="K1122" t="s">
        <v>1556</v>
      </c>
      <c r="L1122">
        <v>1376036</v>
      </c>
      <c r="M1122">
        <v>1239003</v>
      </c>
      <c r="N1122">
        <v>137033</v>
      </c>
      <c r="O1122">
        <v>55</v>
      </c>
      <c r="P1122" t="str">
        <f t="shared" si="35"/>
        <v>senior</v>
      </c>
      <c r="Q1122" t="s">
        <v>1559</v>
      </c>
      <c r="R1122" t="s">
        <v>1561</v>
      </c>
      <c r="S1122" t="s">
        <v>1568</v>
      </c>
      <c r="T1122">
        <v>2003774</v>
      </c>
      <c r="U1122">
        <v>1</v>
      </c>
      <c r="V1122" t="s">
        <v>1588</v>
      </c>
      <c r="W1122" t="s">
        <v>1591</v>
      </c>
      <c r="X1122">
        <v>9.9600000000000009</v>
      </c>
    </row>
    <row r="1123" spans="1:24" x14ac:dyDescent="0.25">
      <c r="A1123" t="s">
        <v>1143</v>
      </c>
      <c r="B1123" s="4">
        <v>46212</v>
      </c>
      <c r="C1123" s="4" t="str">
        <f t="shared" si="34"/>
        <v>Jul</v>
      </c>
      <c r="D1123" t="s">
        <v>1522</v>
      </c>
      <c r="E1123" t="s">
        <v>1524</v>
      </c>
      <c r="F1123" t="s">
        <v>1534</v>
      </c>
      <c r="G1123" t="s">
        <v>1545</v>
      </c>
      <c r="H1123" t="s">
        <v>4</v>
      </c>
      <c r="I1123">
        <v>2023</v>
      </c>
      <c r="J1123" t="s">
        <v>1554</v>
      </c>
      <c r="K1123" t="s">
        <v>1556</v>
      </c>
      <c r="L1123">
        <v>1574460</v>
      </c>
      <c r="M1123">
        <v>1297473</v>
      </c>
      <c r="N1123">
        <v>276987</v>
      </c>
      <c r="O1123">
        <v>38</v>
      </c>
      <c r="P1123" t="str">
        <f t="shared" si="35"/>
        <v>adult</v>
      </c>
      <c r="Q1123" t="s">
        <v>1559</v>
      </c>
      <c r="R1123" t="s">
        <v>1561</v>
      </c>
      <c r="S1123" t="s">
        <v>1568</v>
      </c>
      <c r="T1123">
        <v>1657355</v>
      </c>
      <c r="U1123">
        <v>1</v>
      </c>
      <c r="V1123" t="s">
        <v>1587</v>
      </c>
      <c r="W1123" t="s">
        <v>1594</v>
      </c>
      <c r="X1123">
        <v>17.59</v>
      </c>
    </row>
    <row r="1124" spans="1:24" x14ac:dyDescent="0.25">
      <c r="A1124" t="s">
        <v>1144</v>
      </c>
      <c r="B1124" s="4">
        <v>45860</v>
      </c>
      <c r="C1124" s="4" t="str">
        <f t="shared" si="34"/>
        <v>Jul</v>
      </c>
      <c r="D1124" t="s">
        <v>1522</v>
      </c>
      <c r="E1124" t="s">
        <v>1525</v>
      </c>
      <c r="F1124" t="s">
        <v>1537</v>
      </c>
      <c r="G1124" t="s">
        <v>1541</v>
      </c>
      <c r="H1124" t="s">
        <v>1552</v>
      </c>
      <c r="I1124">
        <v>2024</v>
      </c>
      <c r="J1124" t="s">
        <v>1555</v>
      </c>
      <c r="K1124" t="s">
        <v>1556</v>
      </c>
      <c r="L1124">
        <v>1948686</v>
      </c>
      <c r="M1124">
        <v>1725088</v>
      </c>
      <c r="N1124">
        <v>223598</v>
      </c>
      <c r="O1124">
        <v>24</v>
      </c>
      <c r="P1124" t="str">
        <f t="shared" si="35"/>
        <v>young</v>
      </c>
      <c r="Q1124" t="s">
        <v>1558</v>
      </c>
      <c r="R1124" t="s">
        <v>1562</v>
      </c>
      <c r="S1124" t="s">
        <v>1567</v>
      </c>
      <c r="T1124">
        <v>984740</v>
      </c>
      <c r="U1124">
        <v>5</v>
      </c>
      <c r="V1124" t="s">
        <v>1579</v>
      </c>
      <c r="W1124" t="s">
        <v>1594</v>
      </c>
      <c r="X1124">
        <v>11.47</v>
      </c>
    </row>
    <row r="1125" spans="1:24" x14ac:dyDescent="0.25">
      <c r="A1125" t="s">
        <v>1145</v>
      </c>
      <c r="B1125" s="4">
        <v>46051</v>
      </c>
      <c r="C1125" s="4" t="str">
        <f t="shared" si="34"/>
        <v>Jan</v>
      </c>
      <c r="D1125" t="s">
        <v>1522</v>
      </c>
      <c r="E1125" t="s">
        <v>1524</v>
      </c>
      <c r="F1125" t="s">
        <v>1537</v>
      </c>
      <c r="G1125" t="s">
        <v>1544</v>
      </c>
      <c r="H1125" t="s">
        <v>4</v>
      </c>
      <c r="I1125">
        <v>2024</v>
      </c>
      <c r="J1125" t="s">
        <v>1554</v>
      </c>
      <c r="K1125" t="s">
        <v>1556</v>
      </c>
      <c r="L1125">
        <v>1628491</v>
      </c>
      <c r="M1125">
        <v>1459076</v>
      </c>
      <c r="N1125">
        <v>169415</v>
      </c>
      <c r="O1125">
        <v>50</v>
      </c>
      <c r="P1125" t="str">
        <f t="shared" si="35"/>
        <v>adult</v>
      </c>
      <c r="Q1125" t="s">
        <v>1558</v>
      </c>
      <c r="R1125" t="s">
        <v>1564</v>
      </c>
      <c r="S1125" t="s">
        <v>1569</v>
      </c>
      <c r="T1125">
        <v>764827</v>
      </c>
      <c r="U1125">
        <v>3</v>
      </c>
      <c r="V1125" t="s">
        <v>1581</v>
      </c>
      <c r="W1125" t="s">
        <v>1591</v>
      </c>
      <c r="X1125">
        <v>10.4</v>
      </c>
    </row>
    <row r="1126" spans="1:24" x14ac:dyDescent="0.25">
      <c r="A1126" t="s">
        <v>1146</v>
      </c>
      <c r="B1126" s="4">
        <v>46130</v>
      </c>
      <c r="C1126" s="4" t="str">
        <f t="shared" si="34"/>
        <v>Apr</v>
      </c>
      <c r="D1126" t="s">
        <v>1522</v>
      </c>
      <c r="E1126" t="s">
        <v>1524</v>
      </c>
      <c r="F1126" t="s">
        <v>1537</v>
      </c>
      <c r="G1126" t="s">
        <v>1538</v>
      </c>
      <c r="H1126" t="s">
        <v>4</v>
      </c>
      <c r="I1126">
        <v>2025</v>
      </c>
      <c r="J1126" t="s">
        <v>1554</v>
      </c>
      <c r="K1126" t="s">
        <v>1556</v>
      </c>
      <c r="L1126">
        <v>1694288</v>
      </c>
      <c r="M1126">
        <v>1459182</v>
      </c>
      <c r="N1126">
        <v>235106</v>
      </c>
      <c r="O1126">
        <v>52</v>
      </c>
      <c r="P1126" t="str">
        <f t="shared" si="35"/>
        <v>senior</v>
      </c>
      <c r="Q1126" t="s">
        <v>1558</v>
      </c>
      <c r="R1126" t="s">
        <v>1565</v>
      </c>
      <c r="S1126" t="s">
        <v>1569</v>
      </c>
      <c r="T1126">
        <v>926090</v>
      </c>
      <c r="U1126">
        <v>4</v>
      </c>
      <c r="V1126" t="s">
        <v>1580</v>
      </c>
      <c r="W1126" t="s">
        <v>1592</v>
      </c>
      <c r="X1126">
        <v>13.88</v>
      </c>
    </row>
    <row r="1127" spans="1:24" x14ac:dyDescent="0.25">
      <c r="A1127" t="s">
        <v>1147</v>
      </c>
      <c r="B1127" s="4">
        <v>45691</v>
      </c>
      <c r="C1127" s="4" t="str">
        <f t="shared" si="34"/>
        <v>Feb</v>
      </c>
      <c r="D1127" t="s">
        <v>1522</v>
      </c>
      <c r="E1127" t="s">
        <v>1526</v>
      </c>
      <c r="F1127" t="s">
        <v>1537</v>
      </c>
      <c r="G1127" t="s">
        <v>1542</v>
      </c>
      <c r="H1127" t="s">
        <v>4</v>
      </c>
      <c r="I1127">
        <v>2024</v>
      </c>
      <c r="J1127" t="s">
        <v>1554</v>
      </c>
      <c r="K1127" t="s">
        <v>1557</v>
      </c>
      <c r="L1127">
        <v>1469622</v>
      </c>
      <c r="M1127">
        <v>1221885</v>
      </c>
      <c r="N1127">
        <v>247737</v>
      </c>
      <c r="O1127">
        <v>28</v>
      </c>
      <c r="P1127" t="str">
        <f t="shared" si="35"/>
        <v>young</v>
      </c>
      <c r="Q1127" t="s">
        <v>1558</v>
      </c>
      <c r="R1127" t="s">
        <v>1566</v>
      </c>
      <c r="S1127" t="s">
        <v>1569</v>
      </c>
      <c r="T1127">
        <v>233931</v>
      </c>
      <c r="U1127">
        <v>5</v>
      </c>
      <c r="V1127" t="s">
        <v>1578</v>
      </c>
      <c r="W1127" t="s">
        <v>1591</v>
      </c>
      <c r="X1127">
        <v>16.86</v>
      </c>
    </row>
    <row r="1128" spans="1:24" x14ac:dyDescent="0.25">
      <c r="A1128" t="s">
        <v>1148</v>
      </c>
      <c r="B1128" s="4">
        <v>45776</v>
      </c>
      <c r="C1128" s="4" t="str">
        <f t="shared" si="34"/>
        <v>Apr</v>
      </c>
      <c r="D1128" t="s">
        <v>1522</v>
      </c>
      <c r="E1128" t="s">
        <v>1525</v>
      </c>
      <c r="F1128" t="s">
        <v>1533</v>
      </c>
      <c r="G1128" t="s">
        <v>1540</v>
      </c>
      <c r="H1128" t="s">
        <v>1551</v>
      </c>
      <c r="I1128">
        <v>2024</v>
      </c>
      <c r="J1128" t="s">
        <v>1554</v>
      </c>
      <c r="K1128" t="s">
        <v>1556</v>
      </c>
      <c r="L1128">
        <v>949765</v>
      </c>
      <c r="M1128">
        <v>864406</v>
      </c>
      <c r="N1128">
        <v>85359</v>
      </c>
      <c r="O1128">
        <v>23</v>
      </c>
      <c r="P1128" t="str">
        <f t="shared" si="35"/>
        <v>young</v>
      </c>
      <c r="Q1128" t="s">
        <v>1558</v>
      </c>
      <c r="R1128" t="s">
        <v>1562</v>
      </c>
      <c r="S1128" t="s">
        <v>1567</v>
      </c>
      <c r="T1128">
        <v>1587813</v>
      </c>
      <c r="U1128">
        <v>1</v>
      </c>
      <c r="V1128" t="s">
        <v>1573</v>
      </c>
      <c r="W1128" t="s">
        <v>1592</v>
      </c>
      <c r="X1128">
        <v>8.99</v>
      </c>
    </row>
    <row r="1129" spans="1:24" x14ac:dyDescent="0.25">
      <c r="A1129" t="s">
        <v>1149</v>
      </c>
      <c r="B1129" s="4">
        <v>45723</v>
      </c>
      <c r="C1129" s="4" t="str">
        <f t="shared" si="34"/>
        <v>Mar</v>
      </c>
      <c r="D1129" t="s">
        <v>1522</v>
      </c>
      <c r="E1129" t="s">
        <v>1526</v>
      </c>
      <c r="F1129" t="s">
        <v>1530</v>
      </c>
      <c r="G1129" t="s">
        <v>1548</v>
      </c>
      <c r="H1129" t="s">
        <v>1552</v>
      </c>
      <c r="I1129">
        <v>2024</v>
      </c>
      <c r="J1129" t="s">
        <v>1555</v>
      </c>
      <c r="K1129" t="s">
        <v>1556</v>
      </c>
      <c r="L1129">
        <v>1901743</v>
      </c>
      <c r="M1129">
        <v>1621015</v>
      </c>
      <c r="N1129">
        <v>280728</v>
      </c>
      <c r="O1129">
        <v>31</v>
      </c>
      <c r="P1129" t="str">
        <f t="shared" si="35"/>
        <v>adult</v>
      </c>
      <c r="Q1129" t="s">
        <v>1559</v>
      </c>
      <c r="R1129" t="s">
        <v>1561</v>
      </c>
      <c r="S1129" t="s">
        <v>1569</v>
      </c>
      <c r="T1129">
        <v>615676</v>
      </c>
      <c r="U1129">
        <v>3</v>
      </c>
      <c r="V1129" t="s">
        <v>1588</v>
      </c>
      <c r="W1129" t="s">
        <v>1591</v>
      </c>
      <c r="X1129">
        <v>14.76</v>
      </c>
    </row>
    <row r="1130" spans="1:24" x14ac:dyDescent="0.25">
      <c r="A1130" t="s">
        <v>1150</v>
      </c>
      <c r="B1130" s="4">
        <v>45806</v>
      </c>
      <c r="C1130" s="4" t="str">
        <f t="shared" si="34"/>
        <v>May</v>
      </c>
      <c r="D1130" t="s">
        <v>1522</v>
      </c>
      <c r="E1130" t="s">
        <v>1527</v>
      </c>
      <c r="F1130" t="s">
        <v>1536</v>
      </c>
      <c r="G1130" t="s">
        <v>1539</v>
      </c>
      <c r="H1130" t="s">
        <v>1550</v>
      </c>
      <c r="I1130">
        <v>2023</v>
      </c>
      <c r="J1130" t="s">
        <v>1554</v>
      </c>
      <c r="K1130" t="s">
        <v>1557</v>
      </c>
      <c r="L1130">
        <v>1343386</v>
      </c>
      <c r="M1130">
        <v>1176524</v>
      </c>
      <c r="N1130">
        <v>166862</v>
      </c>
      <c r="O1130">
        <v>64</v>
      </c>
      <c r="P1130" t="str">
        <f t="shared" si="35"/>
        <v>senior</v>
      </c>
      <c r="Q1130" t="s">
        <v>1558</v>
      </c>
      <c r="R1130" t="s">
        <v>1563</v>
      </c>
      <c r="S1130" t="s">
        <v>1569</v>
      </c>
      <c r="T1130">
        <v>759425</v>
      </c>
      <c r="U1130">
        <v>2</v>
      </c>
      <c r="V1130" t="s">
        <v>1572</v>
      </c>
      <c r="W1130" t="s">
        <v>1592</v>
      </c>
      <c r="X1130">
        <v>12.42</v>
      </c>
    </row>
    <row r="1131" spans="1:24" x14ac:dyDescent="0.25">
      <c r="A1131" t="s">
        <v>1151</v>
      </c>
      <c r="B1131" s="4">
        <v>45661</v>
      </c>
      <c r="C1131" s="4" t="str">
        <f t="shared" si="34"/>
        <v>Jan</v>
      </c>
      <c r="D1131" t="s">
        <v>1522</v>
      </c>
      <c r="E1131" t="s">
        <v>1527</v>
      </c>
      <c r="F1131" t="s">
        <v>1537</v>
      </c>
      <c r="G1131" t="s">
        <v>1540</v>
      </c>
      <c r="H1131" t="s">
        <v>1551</v>
      </c>
      <c r="I1131">
        <v>2024</v>
      </c>
      <c r="J1131" t="s">
        <v>1554</v>
      </c>
      <c r="K1131" t="s">
        <v>1556</v>
      </c>
      <c r="L1131">
        <v>963305</v>
      </c>
      <c r="M1131">
        <v>808816</v>
      </c>
      <c r="N1131">
        <v>154489</v>
      </c>
      <c r="O1131">
        <v>26</v>
      </c>
      <c r="P1131" t="str">
        <f t="shared" si="35"/>
        <v>young</v>
      </c>
      <c r="Q1131" t="s">
        <v>1558</v>
      </c>
      <c r="R1131" t="s">
        <v>1564</v>
      </c>
      <c r="S1131" t="s">
        <v>1570</v>
      </c>
      <c r="T1131">
        <v>723115</v>
      </c>
      <c r="U1131">
        <v>1</v>
      </c>
      <c r="V1131" t="s">
        <v>1571</v>
      </c>
      <c r="W1131" t="s">
        <v>1591</v>
      </c>
      <c r="X1131">
        <v>16.04</v>
      </c>
    </row>
    <row r="1132" spans="1:24" x14ac:dyDescent="0.25">
      <c r="A1132" t="s">
        <v>1152</v>
      </c>
      <c r="B1132" s="4">
        <v>45727</v>
      </c>
      <c r="C1132" s="4" t="str">
        <f t="shared" si="34"/>
        <v>Mar</v>
      </c>
      <c r="D1132" t="s">
        <v>1522</v>
      </c>
      <c r="E1132" t="s">
        <v>1523</v>
      </c>
      <c r="F1132" t="s">
        <v>1530</v>
      </c>
      <c r="G1132" t="s">
        <v>1541</v>
      </c>
      <c r="H1132" t="s">
        <v>1550</v>
      </c>
      <c r="I1132">
        <v>2025</v>
      </c>
      <c r="J1132" t="s">
        <v>1554</v>
      </c>
      <c r="K1132" t="s">
        <v>1557</v>
      </c>
      <c r="L1132">
        <v>1306036</v>
      </c>
      <c r="M1132">
        <v>1053065</v>
      </c>
      <c r="N1132">
        <v>252971</v>
      </c>
      <c r="O1132">
        <v>34</v>
      </c>
      <c r="P1132" t="str">
        <f t="shared" si="35"/>
        <v>adult</v>
      </c>
      <c r="Q1132" t="s">
        <v>1559</v>
      </c>
      <c r="R1132" t="s">
        <v>1566</v>
      </c>
      <c r="S1132" t="s">
        <v>1567</v>
      </c>
      <c r="T1132">
        <v>262576</v>
      </c>
      <c r="U1132">
        <v>2</v>
      </c>
      <c r="V1132" t="s">
        <v>1588</v>
      </c>
      <c r="W1132" t="s">
        <v>1591</v>
      </c>
      <c r="X1132">
        <v>19.37</v>
      </c>
    </row>
    <row r="1133" spans="1:24" x14ac:dyDescent="0.25">
      <c r="A1133" t="s">
        <v>1153</v>
      </c>
      <c r="B1133" s="4">
        <v>45729</v>
      </c>
      <c r="C1133" s="4" t="str">
        <f t="shared" si="34"/>
        <v>Mar</v>
      </c>
      <c r="D1133" t="s">
        <v>1522</v>
      </c>
      <c r="E1133" t="s">
        <v>1524</v>
      </c>
      <c r="F1133" t="s">
        <v>1528</v>
      </c>
      <c r="G1133" t="s">
        <v>1539</v>
      </c>
      <c r="H1133" t="s">
        <v>1552</v>
      </c>
      <c r="I1133">
        <v>2026</v>
      </c>
      <c r="J1133" t="s">
        <v>1555</v>
      </c>
      <c r="K1133" t="s">
        <v>1556</v>
      </c>
      <c r="L1133">
        <v>2001850</v>
      </c>
      <c r="M1133">
        <v>1709090</v>
      </c>
      <c r="N1133">
        <v>292760</v>
      </c>
      <c r="O1133">
        <v>27</v>
      </c>
      <c r="P1133" t="str">
        <f t="shared" si="35"/>
        <v>young</v>
      </c>
      <c r="Q1133" t="s">
        <v>1558</v>
      </c>
      <c r="R1133" t="s">
        <v>1565</v>
      </c>
      <c r="S1133" t="s">
        <v>1568</v>
      </c>
      <c r="T1133">
        <v>214376</v>
      </c>
      <c r="U1133">
        <v>5</v>
      </c>
      <c r="V1133" t="s">
        <v>1588</v>
      </c>
      <c r="W1133" t="s">
        <v>1591</v>
      </c>
      <c r="X1133">
        <v>14.62</v>
      </c>
    </row>
    <row r="1134" spans="1:24" x14ac:dyDescent="0.25">
      <c r="A1134" t="s">
        <v>1154</v>
      </c>
      <c r="B1134" s="4">
        <v>45792</v>
      </c>
      <c r="C1134" s="4" t="str">
        <f t="shared" si="34"/>
        <v>May</v>
      </c>
      <c r="D1134" t="s">
        <v>1522</v>
      </c>
      <c r="E1134" t="s">
        <v>1526</v>
      </c>
      <c r="F1134" t="s">
        <v>1533</v>
      </c>
      <c r="G1134" t="s">
        <v>1540</v>
      </c>
      <c r="H1134" t="s">
        <v>1551</v>
      </c>
      <c r="I1134">
        <v>2025</v>
      </c>
      <c r="J1134" t="s">
        <v>1554</v>
      </c>
      <c r="K1134" t="s">
        <v>1556</v>
      </c>
      <c r="L1134">
        <v>959821</v>
      </c>
      <c r="M1134">
        <v>932616</v>
      </c>
      <c r="N1134">
        <v>27205</v>
      </c>
      <c r="O1134">
        <v>46</v>
      </c>
      <c r="P1134" t="str">
        <f t="shared" si="35"/>
        <v>adult</v>
      </c>
      <c r="Q1134" t="s">
        <v>1558</v>
      </c>
      <c r="R1134" t="s">
        <v>1563</v>
      </c>
      <c r="S1134" t="s">
        <v>1568</v>
      </c>
      <c r="T1134">
        <v>961081</v>
      </c>
      <c r="U1134">
        <v>2</v>
      </c>
      <c r="V1134" t="s">
        <v>1572</v>
      </c>
      <c r="W1134" t="s">
        <v>1592</v>
      </c>
      <c r="X1134">
        <v>2.83</v>
      </c>
    </row>
    <row r="1135" spans="1:24" x14ac:dyDescent="0.25">
      <c r="A1135" t="s">
        <v>1155</v>
      </c>
      <c r="B1135" s="4">
        <v>45916</v>
      </c>
      <c r="C1135" s="4" t="str">
        <f t="shared" si="34"/>
        <v>Sep</v>
      </c>
      <c r="D1135" t="s">
        <v>1522</v>
      </c>
      <c r="E1135" t="s">
        <v>1527</v>
      </c>
      <c r="F1135" t="s">
        <v>1534</v>
      </c>
      <c r="G1135" t="s">
        <v>1540</v>
      </c>
      <c r="H1135" t="s">
        <v>1550</v>
      </c>
      <c r="I1135">
        <v>2024</v>
      </c>
      <c r="J1135" t="s">
        <v>1554</v>
      </c>
      <c r="K1135" t="s">
        <v>1557</v>
      </c>
      <c r="L1135">
        <v>1478766</v>
      </c>
      <c r="M1135">
        <v>1231024</v>
      </c>
      <c r="N1135">
        <v>247742</v>
      </c>
      <c r="O1135">
        <v>25</v>
      </c>
      <c r="P1135" t="str">
        <f t="shared" si="35"/>
        <v>young</v>
      </c>
      <c r="Q1135" t="s">
        <v>1559</v>
      </c>
      <c r="R1135" t="s">
        <v>1565</v>
      </c>
      <c r="S1135" t="s">
        <v>1568</v>
      </c>
      <c r="T1135">
        <v>1330746</v>
      </c>
      <c r="U1135">
        <v>1</v>
      </c>
      <c r="V1135" t="s">
        <v>1577</v>
      </c>
      <c r="W1135" t="s">
        <v>1594</v>
      </c>
      <c r="X1135">
        <v>16.75</v>
      </c>
    </row>
    <row r="1136" spans="1:24" x14ac:dyDescent="0.25">
      <c r="A1136" t="s">
        <v>1156</v>
      </c>
      <c r="B1136" s="4">
        <v>45841</v>
      </c>
      <c r="C1136" s="4" t="str">
        <f t="shared" si="34"/>
        <v>Jul</v>
      </c>
      <c r="D1136" t="s">
        <v>1522</v>
      </c>
      <c r="E1136" t="s">
        <v>1526</v>
      </c>
      <c r="F1136" t="s">
        <v>1530</v>
      </c>
      <c r="G1136" t="s">
        <v>1543</v>
      </c>
      <c r="H1136" t="s">
        <v>1552</v>
      </c>
      <c r="I1136">
        <v>2024</v>
      </c>
      <c r="J1136" t="s">
        <v>1555</v>
      </c>
      <c r="K1136" t="s">
        <v>1556</v>
      </c>
      <c r="L1136">
        <v>1934271</v>
      </c>
      <c r="M1136">
        <v>1639333</v>
      </c>
      <c r="N1136">
        <v>294938</v>
      </c>
      <c r="O1136">
        <v>36</v>
      </c>
      <c r="P1136" t="str">
        <f t="shared" si="35"/>
        <v>adult</v>
      </c>
      <c r="Q1136" t="s">
        <v>1558</v>
      </c>
      <c r="R1136" t="s">
        <v>1561</v>
      </c>
      <c r="S1136" t="s">
        <v>1567</v>
      </c>
      <c r="T1136">
        <v>1658440</v>
      </c>
      <c r="U1136">
        <v>4</v>
      </c>
      <c r="V1136" t="s">
        <v>1579</v>
      </c>
      <c r="W1136" t="s">
        <v>1594</v>
      </c>
      <c r="X1136">
        <v>15.25</v>
      </c>
    </row>
    <row r="1137" spans="1:24" x14ac:dyDescent="0.25">
      <c r="A1137" t="s">
        <v>1157</v>
      </c>
      <c r="B1137" s="4">
        <v>46255</v>
      </c>
      <c r="C1137" s="4" t="str">
        <f t="shared" si="34"/>
        <v>Aug</v>
      </c>
      <c r="D1137" t="s">
        <v>1522</v>
      </c>
      <c r="E1137" t="s">
        <v>1524</v>
      </c>
      <c r="F1137" t="s">
        <v>1534</v>
      </c>
      <c r="G1137" t="s">
        <v>1547</v>
      </c>
      <c r="H1137" t="s">
        <v>4</v>
      </c>
      <c r="I1137">
        <v>2024</v>
      </c>
      <c r="J1137" t="s">
        <v>1554</v>
      </c>
      <c r="K1137" t="s">
        <v>1556</v>
      </c>
      <c r="L1137">
        <v>1321495</v>
      </c>
      <c r="M1137">
        <v>1121275</v>
      </c>
      <c r="N1137">
        <v>200220</v>
      </c>
      <c r="O1137">
        <v>25</v>
      </c>
      <c r="P1137" t="str">
        <f t="shared" si="35"/>
        <v>young</v>
      </c>
      <c r="Q1137" t="s">
        <v>1558</v>
      </c>
      <c r="R1137" t="s">
        <v>1563</v>
      </c>
      <c r="S1137" t="s">
        <v>1568</v>
      </c>
      <c r="T1137">
        <v>1294307</v>
      </c>
      <c r="U1137">
        <v>1</v>
      </c>
      <c r="V1137" t="s">
        <v>1576</v>
      </c>
      <c r="W1137" t="s">
        <v>1594</v>
      </c>
      <c r="X1137">
        <v>15.15</v>
      </c>
    </row>
    <row r="1138" spans="1:24" x14ac:dyDescent="0.25">
      <c r="A1138" t="s">
        <v>1158</v>
      </c>
      <c r="B1138" s="4">
        <v>46173</v>
      </c>
      <c r="C1138" s="4" t="str">
        <f t="shared" si="34"/>
        <v>May</v>
      </c>
      <c r="D1138" t="s">
        <v>1522</v>
      </c>
      <c r="E1138" t="s">
        <v>1526</v>
      </c>
      <c r="F1138" t="s">
        <v>1533</v>
      </c>
      <c r="G1138" t="s">
        <v>1546</v>
      </c>
      <c r="H1138" t="s">
        <v>1551</v>
      </c>
      <c r="I1138">
        <v>2026</v>
      </c>
      <c r="J1138" t="s">
        <v>1554</v>
      </c>
      <c r="K1138" t="s">
        <v>1557</v>
      </c>
      <c r="L1138">
        <v>1019234</v>
      </c>
      <c r="M1138">
        <v>874468</v>
      </c>
      <c r="N1138">
        <v>144766</v>
      </c>
      <c r="O1138">
        <v>45</v>
      </c>
      <c r="P1138" t="str">
        <f t="shared" si="35"/>
        <v>adult</v>
      </c>
      <c r="Q1138" t="s">
        <v>1559</v>
      </c>
      <c r="R1138" t="s">
        <v>1564</v>
      </c>
      <c r="S1138" t="s">
        <v>1567</v>
      </c>
      <c r="T1138">
        <v>1907322</v>
      </c>
      <c r="U1138">
        <v>2</v>
      </c>
      <c r="V1138" t="s">
        <v>1590</v>
      </c>
      <c r="W1138" t="s">
        <v>1592</v>
      </c>
      <c r="X1138">
        <v>14.2</v>
      </c>
    </row>
    <row r="1139" spans="1:24" x14ac:dyDescent="0.25">
      <c r="A1139" t="s">
        <v>1159</v>
      </c>
      <c r="B1139" s="4">
        <v>45906</v>
      </c>
      <c r="C1139" s="4" t="str">
        <f t="shared" si="34"/>
        <v>Sep</v>
      </c>
      <c r="D1139" t="s">
        <v>1522</v>
      </c>
      <c r="E1139" t="s">
        <v>1526</v>
      </c>
      <c r="F1139" t="s">
        <v>1536</v>
      </c>
      <c r="G1139" t="s">
        <v>1543</v>
      </c>
      <c r="H1139" t="s">
        <v>1550</v>
      </c>
      <c r="I1139">
        <v>2023</v>
      </c>
      <c r="J1139" t="s">
        <v>1554</v>
      </c>
      <c r="K1139" t="s">
        <v>1556</v>
      </c>
      <c r="L1139">
        <v>1410717</v>
      </c>
      <c r="M1139">
        <v>1285527</v>
      </c>
      <c r="N1139">
        <v>125190</v>
      </c>
      <c r="O1139">
        <v>22</v>
      </c>
      <c r="P1139" t="str">
        <f t="shared" si="35"/>
        <v>young</v>
      </c>
      <c r="Q1139" t="s">
        <v>1559</v>
      </c>
      <c r="R1139" t="s">
        <v>1565</v>
      </c>
      <c r="S1139" t="s">
        <v>1567</v>
      </c>
      <c r="T1139">
        <v>160828</v>
      </c>
      <c r="U1139">
        <v>3</v>
      </c>
      <c r="V1139" t="s">
        <v>1577</v>
      </c>
      <c r="W1139" t="s">
        <v>1594</v>
      </c>
      <c r="X1139">
        <v>8.8699999999999992</v>
      </c>
    </row>
    <row r="1140" spans="1:24" x14ac:dyDescent="0.25">
      <c r="A1140" t="s">
        <v>1160</v>
      </c>
      <c r="B1140" s="4">
        <v>45982</v>
      </c>
      <c r="C1140" s="4" t="str">
        <f t="shared" si="34"/>
        <v>Nov</v>
      </c>
      <c r="D1140" t="s">
        <v>1522</v>
      </c>
      <c r="E1140" t="s">
        <v>1524</v>
      </c>
      <c r="F1140" t="s">
        <v>1537</v>
      </c>
      <c r="G1140" t="s">
        <v>1547</v>
      </c>
      <c r="H1140" t="s">
        <v>1551</v>
      </c>
      <c r="I1140">
        <v>2024</v>
      </c>
      <c r="J1140" t="s">
        <v>1554</v>
      </c>
      <c r="K1140" t="s">
        <v>1556</v>
      </c>
      <c r="L1140">
        <v>755189</v>
      </c>
      <c r="M1140">
        <v>740189</v>
      </c>
      <c r="N1140">
        <v>15000</v>
      </c>
      <c r="O1140">
        <v>31</v>
      </c>
      <c r="P1140" t="str">
        <f t="shared" si="35"/>
        <v>adult</v>
      </c>
      <c r="Q1140" t="s">
        <v>1559</v>
      </c>
      <c r="R1140" t="s">
        <v>1562</v>
      </c>
      <c r="S1140" t="s">
        <v>1567</v>
      </c>
      <c r="T1140">
        <v>858728</v>
      </c>
      <c r="U1140">
        <v>2</v>
      </c>
      <c r="V1140" t="s">
        <v>1583</v>
      </c>
      <c r="W1140" t="s">
        <v>1593</v>
      </c>
      <c r="X1140">
        <v>1.99</v>
      </c>
    </row>
    <row r="1141" spans="1:24" x14ac:dyDescent="0.25">
      <c r="A1141" t="s">
        <v>1161</v>
      </c>
      <c r="B1141" s="4">
        <v>45846</v>
      </c>
      <c r="C1141" s="4" t="str">
        <f t="shared" si="34"/>
        <v>Jul</v>
      </c>
      <c r="D1141" t="s">
        <v>1522</v>
      </c>
      <c r="E1141" t="s">
        <v>1525</v>
      </c>
      <c r="F1141" t="s">
        <v>1529</v>
      </c>
      <c r="G1141" t="s">
        <v>1548</v>
      </c>
      <c r="H1141" t="s">
        <v>4</v>
      </c>
      <c r="I1141">
        <v>2026</v>
      </c>
      <c r="J1141" t="s">
        <v>1554</v>
      </c>
      <c r="K1141" t="s">
        <v>1557</v>
      </c>
      <c r="L1141">
        <v>1517358</v>
      </c>
      <c r="M1141">
        <v>1312382</v>
      </c>
      <c r="N1141">
        <v>204976</v>
      </c>
      <c r="O1141">
        <v>21</v>
      </c>
      <c r="P1141" t="str">
        <f t="shared" si="35"/>
        <v>young</v>
      </c>
      <c r="Q1141" t="s">
        <v>1558</v>
      </c>
      <c r="R1141" t="s">
        <v>1561</v>
      </c>
      <c r="S1141" t="s">
        <v>1568</v>
      </c>
      <c r="T1141">
        <v>251755</v>
      </c>
      <c r="U1141">
        <v>1</v>
      </c>
      <c r="V1141" t="s">
        <v>1579</v>
      </c>
      <c r="W1141" t="s">
        <v>1594</v>
      </c>
      <c r="X1141">
        <v>13.51</v>
      </c>
    </row>
    <row r="1142" spans="1:24" x14ac:dyDescent="0.25">
      <c r="A1142" t="s">
        <v>1162</v>
      </c>
      <c r="B1142" s="4">
        <v>46000</v>
      </c>
      <c r="C1142" s="4" t="str">
        <f t="shared" si="34"/>
        <v>Dec</v>
      </c>
      <c r="D1142" t="s">
        <v>1522</v>
      </c>
      <c r="E1142" t="s">
        <v>1523</v>
      </c>
      <c r="F1142" t="s">
        <v>1529</v>
      </c>
      <c r="G1142" t="s">
        <v>1546</v>
      </c>
      <c r="H1142" t="s">
        <v>4</v>
      </c>
      <c r="I1142">
        <v>2025</v>
      </c>
      <c r="J1142" t="s">
        <v>1554</v>
      </c>
      <c r="K1142" t="s">
        <v>1557</v>
      </c>
      <c r="L1142">
        <v>1507227</v>
      </c>
      <c r="M1142">
        <v>1267566</v>
      </c>
      <c r="N1142">
        <v>239661</v>
      </c>
      <c r="O1142">
        <v>40</v>
      </c>
      <c r="P1142" t="str">
        <f t="shared" si="35"/>
        <v>adult</v>
      </c>
      <c r="Q1142" t="s">
        <v>1559</v>
      </c>
      <c r="R1142" t="s">
        <v>1564</v>
      </c>
      <c r="S1142" t="s">
        <v>1567</v>
      </c>
      <c r="T1142">
        <v>282463</v>
      </c>
      <c r="U1142">
        <v>3</v>
      </c>
      <c r="V1142" t="s">
        <v>1575</v>
      </c>
      <c r="W1142" t="s">
        <v>1593</v>
      </c>
      <c r="X1142">
        <v>15.9</v>
      </c>
    </row>
    <row r="1143" spans="1:24" x14ac:dyDescent="0.25">
      <c r="A1143" t="s">
        <v>1163</v>
      </c>
      <c r="B1143" s="4">
        <v>45999</v>
      </c>
      <c r="C1143" s="4" t="str">
        <f t="shared" si="34"/>
        <v>Dec</v>
      </c>
      <c r="D1143" t="s">
        <v>1522</v>
      </c>
      <c r="E1143" t="s">
        <v>1527</v>
      </c>
      <c r="F1143" t="s">
        <v>1528</v>
      </c>
      <c r="G1143" t="s">
        <v>1549</v>
      </c>
      <c r="H1143" t="s">
        <v>1550</v>
      </c>
      <c r="I1143">
        <v>2025</v>
      </c>
      <c r="J1143" t="s">
        <v>1554</v>
      </c>
      <c r="K1143" t="s">
        <v>1557</v>
      </c>
      <c r="L1143">
        <v>1250496</v>
      </c>
      <c r="M1143">
        <v>1003586</v>
      </c>
      <c r="N1143">
        <v>246910</v>
      </c>
      <c r="O1143">
        <v>24</v>
      </c>
      <c r="P1143" t="str">
        <f t="shared" si="35"/>
        <v>young</v>
      </c>
      <c r="Q1143" t="s">
        <v>1558</v>
      </c>
      <c r="R1143" t="s">
        <v>1561</v>
      </c>
      <c r="S1143" t="s">
        <v>1567</v>
      </c>
      <c r="T1143">
        <v>1782164</v>
      </c>
      <c r="U1143">
        <v>4</v>
      </c>
      <c r="V1143" t="s">
        <v>1575</v>
      </c>
      <c r="W1143" t="s">
        <v>1593</v>
      </c>
      <c r="X1143">
        <v>19.739999999999998</v>
      </c>
    </row>
    <row r="1144" spans="1:24" x14ac:dyDescent="0.25">
      <c r="A1144" t="s">
        <v>1164</v>
      </c>
      <c r="B1144" s="4">
        <v>45960</v>
      </c>
      <c r="C1144" s="4" t="str">
        <f t="shared" si="34"/>
        <v>Oct</v>
      </c>
      <c r="D1144" t="s">
        <v>1522</v>
      </c>
      <c r="E1144" t="s">
        <v>1523</v>
      </c>
      <c r="F1144" t="s">
        <v>1535</v>
      </c>
      <c r="G1144" t="s">
        <v>1540</v>
      </c>
      <c r="H1144" t="s">
        <v>1550</v>
      </c>
      <c r="I1144">
        <v>2025</v>
      </c>
      <c r="J1144" t="s">
        <v>1554</v>
      </c>
      <c r="K1144" t="s">
        <v>1557</v>
      </c>
      <c r="L1144">
        <v>1323910</v>
      </c>
      <c r="M1144">
        <v>1119465</v>
      </c>
      <c r="N1144">
        <v>204445</v>
      </c>
      <c r="O1144">
        <v>59</v>
      </c>
      <c r="P1144" t="str">
        <f t="shared" si="35"/>
        <v>senior</v>
      </c>
      <c r="Q1144" t="s">
        <v>1559</v>
      </c>
      <c r="R1144" t="s">
        <v>1566</v>
      </c>
      <c r="S1144" t="s">
        <v>1567</v>
      </c>
      <c r="T1144">
        <v>1325442</v>
      </c>
      <c r="U1144">
        <v>5</v>
      </c>
      <c r="V1144" t="s">
        <v>1574</v>
      </c>
      <c r="W1144" t="s">
        <v>1593</v>
      </c>
      <c r="X1144">
        <v>15.44</v>
      </c>
    </row>
    <row r="1145" spans="1:24" x14ac:dyDescent="0.25">
      <c r="A1145" t="s">
        <v>1165</v>
      </c>
      <c r="B1145" s="4">
        <v>45862</v>
      </c>
      <c r="C1145" s="4" t="str">
        <f t="shared" si="34"/>
        <v>Jul</v>
      </c>
      <c r="D1145" t="s">
        <v>1522</v>
      </c>
      <c r="E1145" t="s">
        <v>1525</v>
      </c>
      <c r="F1145" t="s">
        <v>1532</v>
      </c>
      <c r="G1145" t="s">
        <v>1546</v>
      </c>
      <c r="H1145" t="s">
        <v>4</v>
      </c>
      <c r="I1145">
        <v>2022</v>
      </c>
      <c r="J1145" t="s">
        <v>1554</v>
      </c>
      <c r="K1145" t="s">
        <v>1557</v>
      </c>
      <c r="L1145">
        <v>1829711</v>
      </c>
      <c r="M1145">
        <v>1663348</v>
      </c>
      <c r="N1145">
        <v>166363</v>
      </c>
      <c r="O1145">
        <v>57</v>
      </c>
      <c r="P1145" t="str">
        <f t="shared" si="35"/>
        <v>senior</v>
      </c>
      <c r="Q1145" t="s">
        <v>1558</v>
      </c>
      <c r="R1145" t="s">
        <v>1564</v>
      </c>
      <c r="S1145" t="s">
        <v>1567</v>
      </c>
      <c r="T1145">
        <v>1069351</v>
      </c>
      <c r="U1145">
        <v>3</v>
      </c>
      <c r="V1145" t="s">
        <v>1579</v>
      </c>
      <c r="W1145" t="s">
        <v>1594</v>
      </c>
      <c r="X1145">
        <v>9.09</v>
      </c>
    </row>
    <row r="1146" spans="1:24" x14ac:dyDescent="0.25">
      <c r="A1146" t="s">
        <v>1166</v>
      </c>
      <c r="B1146" s="4">
        <v>45680</v>
      </c>
      <c r="C1146" s="4" t="str">
        <f t="shared" si="34"/>
        <v>Jan</v>
      </c>
      <c r="D1146" t="s">
        <v>1522</v>
      </c>
      <c r="E1146" t="s">
        <v>1524</v>
      </c>
      <c r="F1146" t="s">
        <v>1532</v>
      </c>
      <c r="G1146" t="s">
        <v>1538</v>
      </c>
      <c r="H1146" t="s">
        <v>1550</v>
      </c>
      <c r="I1146">
        <v>2025</v>
      </c>
      <c r="J1146" t="s">
        <v>1554</v>
      </c>
      <c r="K1146" t="s">
        <v>1556</v>
      </c>
      <c r="L1146">
        <v>1530147</v>
      </c>
      <c r="M1146">
        <v>1234207</v>
      </c>
      <c r="N1146">
        <v>295940</v>
      </c>
      <c r="O1146">
        <v>40</v>
      </c>
      <c r="P1146" t="str">
        <f t="shared" si="35"/>
        <v>adult</v>
      </c>
      <c r="Q1146" t="s">
        <v>1558</v>
      </c>
      <c r="R1146" t="s">
        <v>1565</v>
      </c>
      <c r="S1146" t="s">
        <v>1567</v>
      </c>
      <c r="T1146">
        <v>1388305</v>
      </c>
      <c r="U1146">
        <v>3</v>
      </c>
      <c r="V1146" t="s">
        <v>1571</v>
      </c>
      <c r="W1146" t="s">
        <v>1591</v>
      </c>
      <c r="X1146">
        <v>19.34</v>
      </c>
    </row>
    <row r="1147" spans="1:24" x14ac:dyDescent="0.25">
      <c r="A1147" t="s">
        <v>1167</v>
      </c>
      <c r="B1147" s="4">
        <v>45967</v>
      </c>
      <c r="C1147" s="4" t="str">
        <f t="shared" si="34"/>
        <v>Nov</v>
      </c>
      <c r="D1147" t="s">
        <v>1522</v>
      </c>
      <c r="E1147" t="s">
        <v>1526</v>
      </c>
      <c r="F1147" t="s">
        <v>1535</v>
      </c>
      <c r="G1147" t="s">
        <v>1540</v>
      </c>
      <c r="H1147" t="s">
        <v>1550</v>
      </c>
      <c r="I1147">
        <v>2024</v>
      </c>
      <c r="J1147" t="s">
        <v>1554</v>
      </c>
      <c r="K1147" t="s">
        <v>1556</v>
      </c>
      <c r="L1147">
        <v>1581111</v>
      </c>
      <c r="M1147">
        <v>1388662</v>
      </c>
      <c r="N1147">
        <v>192449</v>
      </c>
      <c r="O1147">
        <v>52</v>
      </c>
      <c r="P1147" t="str">
        <f t="shared" si="35"/>
        <v>senior</v>
      </c>
      <c r="Q1147" t="s">
        <v>1559</v>
      </c>
      <c r="R1147" t="s">
        <v>1561</v>
      </c>
      <c r="S1147" t="s">
        <v>1568</v>
      </c>
      <c r="T1147">
        <v>277192</v>
      </c>
      <c r="U1147">
        <v>1</v>
      </c>
      <c r="V1147" t="s">
        <v>1583</v>
      </c>
      <c r="W1147" t="s">
        <v>1593</v>
      </c>
      <c r="X1147">
        <v>12.17</v>
      </c>
    </row>
    <row r="1148" spans="1:24" x14ac:dyDescent="0.25">
      <c r="A1148" t="s">
        <v>1168</v>
      </c>
      <c r="B1148" s="4">
        <v>45992</v>
      </c>
      <c r="C1148" s="4" t="str">
        <f t="shared" si="34"/>
        <v>Dec</v>
      </c>
      <c r="D1148" t="s">
        <v>1522</v>
      </c>
      <c r="E1148" t="s">
        <v>1526</v>
      </c>
      <c r="F1148" t="s">
        <v>1534</v>
      </c>
      <c r="G1148" t="s">
        <v>1546</v>
      </c>
      <c r="H1148" t="s">
        <v>1551</v>
      </c>
      <c r="I1148">
        <v>2023</v>
      </c>
      <c r="J1148" t="s">
        <v>1554</v>
      </c>
      <c r="K1148" t="s">
        <v>1556</v>
      </c>
      <c r="L1148">
        <v>907231</v>
      </c>
      <c r="M1148">
        <v>757470</v>
      </c>
      <c r="N1148">
        <v>149761</v>
      </c>
      <c r="O1148">
        <v>33</v>
      </c>
      <c r="P1148" t="str">
        <f t="shared" si="35"/>
        <v>adult</v>
      </c>
      <c r="Q1148" t="s">
        <v>1558</v>
      </c>
      <c r="R1148" t="s">
        <v>1563</v>
      </c>
      <c r="S1148" t="s">
        <v>1570</v>
      </c>
      <c r="T1148">
        <v>1367193</v>
      </c>
      <c r="U1148">
        <v>4</v>
      </c>
      <c r="V1148" t="s">
        <v>1575</v>
      </c>
      <c r="W1148" t="s">
        <v>1593</v>
      </c>
      <c r="X1148">
        <v>16.510000000000002</v>
      </c>
    </row>
    <row r="1149" spans="1:24" x14ac:dyDescent="0.25">
      <c r="A1149" t="s">
        <v>1169</v>
      </c>
      <c r="B1149" s="4">
        <v>45862</v>
      </c>
      <c r="C1149" s="4" t="str">
        <f t="shared" si="34"/>
        <v>Jul</v>
      </c>
      <c r="D1149" t="s">
        <v>1522</v>
      </c>
      <c r="E1149" t="s">
        <v>1523</v>
      </c>
      <c r="F1149" t="s">
        <v>1534</v>
      </c>
      <c r="G1149" t="s">
        <v>1547</v>
      </c>
      <c r="H1149" t="s">
        <v>1551</v>
      </c>
      <c r="I1149">
        <v>2024</v>
      </c>
      <c r="J1149" t="s">
        <v>1554</v>
      </c>
      <c r="K1149" t="s">
        <v>1556</v>
      </c>
      <c r="L1149">
        <v>960051</v>
      </c>
      <c r="M1149">
        <v>842298</v>
      </c>
      <c r="N1149">
        <v>117753</v>
      </c>
      <c r="O1149">
        <v>46</v>
      </c>
      <c r="P1149" t="str">
        <f t="shared" si="35"/>
        <v>adult</v>
      </c>
      <c r="Q1149" t="s">
        <v>1558</v>
      </c>
      <c r="R1149" t="s">
        <v>1566</v>
      </c>
      <c r="S1149" t="s">
        <v>1568</v>
      </c>
      <c r="T1149">
        <v>905603</v>
      </c>
      <c r="U1149">
        <v>5</v>
      </c>
      <c r="V1149" t="s">
        <v>1579</v>
      </c>
      <c r="W1149" t="s">
        <v>1594</v>
      </c>
      <c r="X1149">
        <v>12.27</v>
      </c>
    </row>
    <row r="1150" spans="1:24" x14ac:dyDescent="0.25">
      <c r="A1150" t="s">
        <v>1170</v>
      </c>
      <c r="B1150" s="4">
        <v>45991</v>
      </c>
      <c r="C1150" s="4" t="str">
        <f t="shared" si="34"/>
        <v>Nov</v>
      </c>
      <c r="D1150" t="s">
        <v>1522</v>
      </c>
      <c r="E1150" t="s">
        <v>1527</v>
      </c>
      <c r="F1150" t="s">
        <v>1535</v>
      </c>
      <c r="G1150" t="s">
        <v>1540</v>
      </c>
      <c r="H1150" t="s">
        <v>4</v>
      </c>
      <c r="I1150">
        <v>2024</v>
      </c>
      <c r="J1150" t="s">
        <v>1554</v>
      </c>
      <c r="K1150" t="s">
        <v>1557</v>
      </c>
      <c r="L1150">
        <v>1500994</v>
      </c>
      <c r="M1150">
        <v>1369168</v>
      </c>
      <c r="N1150">
        <v>131826</v>
      </c>
      <c r="O1150">
        <v>38</v>
      </c>
      <c r="P1150" t="str">
        <f t="shared" si="35"/>
        <v>adult</v>
      </c>
      <c r="Q1150" t="s">
        <v>1558</v>
      </c>
      <c r="R1150" t="s">
        <v>1565</v>
      </c>
      <c r="S1150" t="s">
        <v>1569</v>
      </c>
      <c r="T1150">
        <v>497604</v>
      </c>
      <c r="U1150">
        <v>1</v>
      </c>
      <c r="V1150" t="s">
        <v>1583</v>
      </c>
      <c r="W1150" t="s">
        <v>1593</v>
      </c>
      <c r="X1150">
        <v>8.7799999999999994</v>
      </c>
    </row>
    <row r="1151" spans="1:24" x14ac:dyDescent="0.25">
      <c r="A1151" t="s">
        <v>1171</v>
      </c>
      <c r="B1151" s="4">
        <v>46251</v>
      </c>
      <c r="C1151" s="4" t="str">
        <f t="shared" si="34"/>
        <v>Aug</v>
      </c>
      <c r="D1151" t="s">
        <v>1522</v>
      </c>
      <c r="E1151" t="s">
        <v>1523</v>
      </c>
      <c r="F1151" t="s">
        <v>1536</v>
      </c>
      <c r="G1151" t="s">
        <v>1540</v>
      </c>
      <c r="H1151" t="s">
        <v>1550</v>
      </c>
      <c r="I1151">
        <v>2025</v>
      </c>
      <c r="J1151" t="s">
        <v>1554</v>
      </c>
      <c r="K1151" t="s">
        <v>1556</v>
      </c>
      <c r="L1151">
        <v>1623929</v>
      </c>
      <c r="M1151">
        <v>1384044</v>
      </c>
      <c r="N1151">
        <v>239885</v>
      </c>
      <c r="O1151">
        <v>26</v>
      </c>
      <c r="P1151" t="str">
        <f t="shared" si="35"/>
        <v>young</v>
      </c>
      <c r="Q1151" t="s">
        <v>1558</v>
      </c>
      <c r="R1151" t="s">
        <v>1562</v>
      </c>
      <c r="S1151" t="s">
        <v>1567</v>
      </c>
      <c r="T1151">
        <v>1837029</v>
      </c>
      <c r="U1151">
        <v>5</v>
      </c>
      <c r="V1151" t="s">
        <v>1576</v>
      </c>
      <c r="W1151" t="s">
        <v>1594</v>
      </c>
      <c r="X1151">
        <v>14.77</v>
      </c>
    </row>
    <row r="1152" spans="1:24" x14ac:dyDescent="0.25">
      <c r="A1152" t="s">
        <v>1172</v>
      </c>
      <c r="B1152" s="4">
        <v>45890</v>
      </c>
      <c r="C1152" s="4" t="str">
        <f t="shared" si="34"/>
        <v>Aug</v>
      </c>
      <c r="D1152" t="s">
        <v>1522</v>
      </c>
      <c r="E1152" t="s">
        <v>1526</v>
      </c>
      <c r="F1152" t="s">
        <v>1536</v>
      </c>
      <c r="G1152" t="s">
        <v>1540</v>
      </c>
      <c r="H1152" t="s">
        <v>1551</v>
      </c>
      <c r="I1152">
        <v>2025</v>
      </c>
      <c r="J1152" t="s">
        <v>1554</v>
      </c>
      <c r="K1152" t="s">
        <v>1557</v>
      </c>
      <c r="L1152">
        <v>975099</v>
      </c>
      <c r="M1152">
        <v>804961</v>
      </c>
      <c r="N1152">
        <v>170138</v>
      </c>
      <c r="O1152">
        <v>48</v>
      </c>
      <c r="P1152" t="str">
        <f t="shared" si="35"/>
        <v>adult</v>
      </c>
      <c r="Q1152" t="s">
        <v>1559</v>
      </c>
      <c r="R1152" t="s">
        <v>1562</v>
      </c>
      <c r="S1152" t="s">
        <v>1569</v>
      </c>
      <c r="T1152">
        <v>1792359</v>
      </c>
      <c r="U1152">
        <v>5</v>
      </c>
      <c r="V1152" t="s">
        <v>1585</v>
      </c>
      <c r="W1152" t="s">
        <v>1594</v>
      </c>
      <c r="X1152">
        <v>17.45</v>
      </c>
    </row>
    <row r="1153" spans="1:24" x14ac:dyDescent="0.25">
      <c r="A1153" t="s">
        <v>1173</v>
      </c>
      <c r="B1153" s="4">
        <v>45855</v>
      </c>
      <c r="C1153" s="4" t="str">
        <f t="shared" si="34"/>
        <v>Jul</v>
      </c>
      <c r="D1153" t="s">
        <v>1522</v>
      </c>
      <c r="E1153" t="s">
        <v>1525</v>
      </c>
      <c r="F1153" t="s">
        <v>1529</v>
      </c>
      <c r="G1153" t="s">
        <v>1542</v>
      </c>
      <c r="H1153" t="s">
        <v>1550</v>
      </c>
      <c r="I1153">
        <v>2024</v>
      </c>
      <c r="J1153" t="s">
        <v>1554</v>
      </c>
      <c r="K1153" t="s">
        <v>1557</v>
      </c>
      <c r="L1153">
        <v>1628956</v>
      </c>
      <c r="M1153">
        <v>1448732</v>
      </c>
      <c r="N1153">
        <v>180224</v>
      </c>
      <c r="O1153">
        <v>56</v>
      </c>
      <c r="P1153" t="str">
        <f t="shared" si="35"/>
        <v>senior</v>
      </c>
      <c r="Q1153" t="s">
        <v>1558</v>
      </c>
      <c r="R1153" t="s">
        <v>1566</v>
      </c>
      <c r="S1153" t="s">
        <v>1567</v>
      </c>
      <c r="T1153">
        <v>12379</v>
      </c>
      <c r="U1153">
        <v>2</v>
      </c>
      <c r="V1153" t="s">
        <v>1579</v>
      </c>
      <c r="W1153" t="s">
        <v>1594</v>
      </c>
      <c r="X1153">
        <v>11.06</v>
      </c>
    </row>
    <row r="1154" spans="1:24" x14ac:dyDescent="0.25">
      <c r="A1154" t="s">
        <v>1174</v>
      </c>
      <c r="B1154" s="4">
        <v>46124</v>
      </c>
      <c r="C1154" s="4" t="str">
        <f t="shared" si="34"/>
        <v>Apr</v>
      </c>
      <c r="D1154" t="s">
        <v>1522</v>
      </c>
      <c r="E1154" t="s">
        <v>1525</v>
      </c>
      <c r="F1154" t="s">
        <v>1533</v>
      </c>
      <c r="G1154" t="s">
        <v>1546</v>
      </c>
      <c r="H1154" t="s">
        <v>1550</v>
      </c>
      <c r="I1154">
        <v>2025</v>
      </c>
      <c r="J1154" t="s">
        <v>1554</v>
      </c>
      <c r="K1154" t="s">
        <v>1557</v>
      </c>
      <c r="L1154">
        <v>1509196</v>
      </c>
      <c r="M1154">
        <v>1369210</v>
      </c>
      <c r="N1154">
        <v>139986</v>
      </c>
      <c r="O1154">
        <v>48</v>
      </c>
      <c r="P1154" t="str">
        <f t="shared" si="35"/>
        <v>adult</v>
      </c>
      <c r="Q1154" t="s">
        <v>1558</v>
      </c>
      <c r="R1154" t="s">
        <v>1564</v>
      </c>
      <c r="S1154" t="s">
        <v>1568</v>
      </c>
      <c r="T1154">
        <v>1569745</v>
      </c>
      <c r="U1154">
        <v>1</v>
      </c>
      <c r="V1154" t="s">
        <v>1580</v>
      </c>
      <c r="W1154" t="s">
        <v>1592</v>
      </c>
      <c r="X1154">
        <v>9.2799999999999994</v>
      </c>
    </row>
    <row r="1155" spans="1:24" x14ac:dyDescent="0.25">
      <c r="A1155" t="s">
        <v>1175</v>
      </c>
      <c r="B1155" s="4">
        <v>46254</v>
      </c>
      <c r="C1155" s="4" t="str">
        <f t="shared" ref="C1155:C1218" si="36">TEXT(B1155,"MMM")</f>
        <v>Aug</v>
      </c>
      <c r="D1155" t="s">
        <v>1522</v>
      </c>
      <c r="E1155" t="s">
        <v>1527</v>
      </c>
      <c r="F1155" t="s">
        <v>1530</v>
      </c>
      <c r="G1155" t="s">
        <v>1539</v>
      </c>
      <c r="H1155" t="s">
        <v>1552</v>
      </c>
      <c r="I1155">
        <v>2025</v>
      </c>
      <c r="J1155" t="s">
        <v>1555</v>
      </c>
      <c r="K1155" t="s">
        <v>1556</v>
      </c>
      <c r="L1155">
        <v>1963001</v>
      </c>
      <c r="M1155">
        <v>1630418</v>
      </c>
      <c r="N1155">
        <v>332583</v>
      </c>
      <c r="O1155">
        <v>48</v>
      </c>
      <c r="P1155" t="str">
        <f t="shared" ref="P1155:P1218" si="37">IF(O1155&gt;50,"senior",IF(O1155&gt;30,"adult","young"))</f>
        <v>adult</v>
      </c>
      <c r="Q1155" t="s">
        <v>1558</v>
      </c>
      <c r="R1155" t="s">
        <v>1563</v>
      </c>
      <c r="S1155" t="s">
        <v>1568</v>
      </c>
      <c r="T1155">
        <v>333287</v>
      </c>
      <c r="U1155">
        <v>5</v>
      </c>
      <c r="V1155" t="s">
        <v>1576</v>
      </c>
      <c r="W1155" t="s">
        <v>1594</v>
      </c>
      <c r="X1155">
        <v>16.940000000000001</v>
      </c>
    </row>
    <row r="1156" spans="1:24" x14ac:dyDescent="0.25">
      <c r="A1156" t="s">
        <v>1176</v>
      </c>
      <c r="B1156" s="4">
        <v>45844</v>
      </c>
      <c r="C1156" s="4" t="str">
        <f t="shared" si="36"/>
        <v>Jul</v>
      </c>
      <c r="D1156" t="s">
        <v>1522</v>
      </c>
      <c r="E1156" t="s">
        <v>1527</v>
      </c>
      <c r="F1156" t="s">
        <v>1535</v>
      </c>
      <c r="G1156" t="s">
        <v>1542</v>
      </c>
      <c r="H1156" t="s">
        <v>1550</v>
      </c>
      <c r="I1156">
        <v>2024</v>
      </c>
      <c r="J1156" t="s">
        <v>1554</v>
      </c>
      <c r="K1156" t="s">
        <v>1557</v>
      </c>
      <c r="L1156">
        <v>1227269</v>
      </c>
      <c r="M1156">
        <v>1002921</v>
      </c>
      <c r="N1156">
        <v>224348</v>
      </c>
      <c r="O1156">
        <v>38</v>
      </c>
      <c r="P1156" t="str">
        <f t="shared" si="37"/>
        <v>adult</v>
      </c>
      <c r="Q1156" t="s">
        <v>1558</v>
      </c>
      <c r="R1156" t="s">
        <v>1561</v>
      </c>
      <c r="S1156" t="s">
        <v>1567</v>
      </c>
      <c r="T1156">
        <v>58208</v>
      </c>
      <c r="U1156">
        <v>2</v>
      </c>
      <c r="V1156" t="s">
        <v>1579</v>
      </c>
      <c r="W1156" t="s">
        <v>1594</v>
      </c>
      <c r="X1156">
        <v>18.28</v>
      </c>
    </row>
    <row r="1157" spans="1:24" x14ac:dyDescent="0.25">
      <c r="A1157" t="s">
        <v>1177</v>
      </c>
      <c r="B1157" s="4">
        <v>45916</v>
      </c>
      <c r="C1157" s="4" t="str">
        <f t="shared" si="36"/>
        <v>Sep</v>
      </c>
      <c r="D1157" t="s">
        <v>1522</v>
      </c>
      <c r="E1157" t="s">
        <v>1524</v>
      </c>
      <c r="F1157" t="s">
        <v>1530</v>
      </c>
      <c r="G1157" t="s">
        <v>1547</v>
      </c>
      <c r="H1157" t="s">
        <v>4</v>
      </c>
      <c r="I1157">
        <v>2025</v>
      </c>
      <c r="J1157" t="s">
        <v>1554</v>
      </c>
      <c r="K1157" t="s">
        <v>1556</v>
      </c>
      <c r="L1157">
        <v>1447592</v>
      </c>
      <c r="M1157">
        <v>1274658</v>
      </c>
      <c r="N1157">
        <v>172934</v>
      </c>
      <c r="O1157">
        <v>45</v>
      </c>
      <c r="P1157" t="str">
        <f t="shared" si="37"/>
        <v>adult</v>
      </c>
      <c r="Q1157" t="s">
        <v>1559</v>
      </c>
      <c r="R1157" t="s">
        <v>1566</v>
      </c>
      <c r="S1157" t="s">
        <v>1567</v>
      </c>
      <c r="T1157">
        <v>1583334</v>
      </c>
      <c r="U1157">
        <v>1</v>
      </c>
      <c r="V1157" t="s">
        <v>1577</v>
      </c>
      <c r="W1157" t="s">
        <v>1594</v>
      </c>
      <c r="X1157">
        <v>11.95</v>
      </c>
    </row>
    <row r="1158" spans="1:24" x14ac:dyDescent="0.25">
      <c r="A1158" t="s">
        <v>1178</v>
      </c>
      <c r="B1158" s="4">
        <v>45884</v>
      </c>
      <c r="C1158" s="4" t="str">
        <f t="shared" si="36"/>
        <v>Aug</v>
      </c>
      <c r="D1158" t="s">
        <v>1522</v>
      </c>
      <c r="E1158" t="s">
        <v>1526</v>
      </c>
      <c r="F1158" t="s">
        <v>1528</v>
      </c>
      <c r="G1158" t="s">
        <v>1547</v>
      </c>
      <c r="H1158" t="s">
        <v>4</v>
      </c>
      <c r="I1158">
        <v>2024</v>
      </c>
      <c r="J1158" t="s">
        <v>1554</v>
      </c>
      <c r="K1158" t="s">
        <v>1556</v>
      </c>
      <c r="L1158">
        <v>1616100</v>
      </c>
      <c r="M1158">
        <v>1417744</v>
      </c>
      <c r="N1158">
        <v>198356</v>
      </c>
      <c r="O1158">
        <v>61</v>
      </c>
      <c r="P1158" t="str">
        <f t="shared" si="37"/>
        <v>senior</v>
      </c>
      <c r="Q1158" t="s">
        <v>1558</v>
      </c>
      <c r="R1158" t="s">
        <v>1564</v>
      </c>
      <c r="S1158" t="s">
        <v>1567</v>
      </c>
      <c r="T1158">
        <v>1115727</v>
      </c>
      <c r="U1158">
        <v>4</v>
      </c>
      <c r="V1158" t="s">
        <v>1585</v>
      </c>
      <c r="W1158" t="s">
        <v>1594</v>
      </c>
      <c r="X1158">
        <v>12.27</v>
      </c>
    </row>
    <row r="1159" spans="1:24" x14ac:dyDescent="0.25">
      <c r="A1159" t="s">
        <v>1179</v>
      </c>
      <c r="B1159" s="4">
        <v>45848</v>
      </c>
      <c r="C1159" s="4" t="str">
        <f t="shared" si="36"/>
        <v>Jul</v>
      </c>
      <c r="D1159" t="s">
        <v>1522</v>
      </c>
      <c r="E1159" t="s">
        <v>1523</v>
      </c>
      <c r="F1159" t="s">
        <v>1532</v>
      </c>
      <c r="G1159" t="s">
        <v>1546</v>
      </c>
      <c r="H1159" t="s">
        <v>1551</v>
      </c>
      <c r="I1159">
        <v>2025</v>
      </c>
      <c r="J1159" t="s">
        <v>1554</v>
      </c>
      <c r="K1159" t="s">
        <v>1557</v>
      </c>
      <c r="L1159">
        <v>901280</v>
      </c>
      <c r="M1159">
        <v>777583</v>
      </c>
      <c r="N1159">
        <v>123697</v>
      </c>
      <c r="O1159">
        <v>48</v>
      </c>
      <c r="P1159" t="str">
        <f t="shared" si="37"/>
        <v>adult</v>
      </c>
      <c r="Q1159" t="s">
        <v>1558</v>
      </c>
      <c r="R1159" t="s">
        <v>1562</v>
      </c>
      <c r="S1159" t="s">
        <v>1567</v>
      </c>
      <c r="T1159">
        <v>885597</v>
      </c>
      <c r="U1159">
        <v>1</v>
      </c>
      <c r="V1159" t="s">
        <v>1579</v>
      </c>
      <c r="W1159" t="s">
        <v>1594</v>
      </c>
      <c r="X1159">
        <v>13.72</v>
      </c>
    </row>
    <row r="1160" spans="1:24" x14ac:dyDescent="0.25">
      <c r="A1160" t="s">
        <v>1180</v>
      </c>
      <c r="B1160" s="4">
        <v>46259</v>
      </c>
      <c r="C1160" s="4" t="str">
        <f t="shared" si="36"/>
        <v>Aug</v>
      </c>
      <c r="D1160" t="s">
        <v>1522</v>
      </c>
      <c r="E1160" t="s">
        <v>1526</v>
      </c>
      <c r="F1160" t="s">
        <v>1537</v>
      </c>
      <c r="G1160" t="s">
        <v>1547</v>
      </c>
      <c r="H1160" t="s">
        <v>4</v>
      </c>
      <c r="I1160">
        <v>2026</v>
      </c>
      <c r="J1160" t="s">
        <v>1554</v>
      </c>
      <c r="K1160" t="s">
        <v>1557</v>
      </c>
      <c r="L1160">
        <v>1341171</v>
      </c>
      <c r="M1160">
        <v>1202364</v>
      </c>
      <c r="N1160">
        <v>138807</v>
      </c>
      <c r="O1160">
        <v>50</v>
      </c>
      <c r="P1160" t="str">
        <f t="shared" si="37"/>
        <v>adult</v>
      </c>
      <c r="Q1160" t="s">
        <v>1558</v>
      </c>
      <c r="R1160" t="s">
        <v>1564</v>
      </c>
      <c r="S1160" t="s">
        <v>1567</v>
      </c>
      <c r="T1160">
        <v>811945</v>
      </c>
      <c r="U1160">
        <v>1</v>
      </c>
      <c r="V1160" t="s">
        <v>1576</v>
      </c>
      <c r="W1160" t="s">
        <v>1594</v>
      </c>
      <c r="X1160">
        <v>10.35</v>
      </c>
    </row>
    <row r="1161" spans="1:24" x14ac:dyDescent="0.25">
      <c r="A1161" t="s">
        <v>1181</v>
      </c>
      <c r="B1161" s="4">
        <v>45905</v>
      </c>
      <c r="C1161" s="4" t="str">
        <f t="shared" si="36"/>
        <v>Sep</v>
      </c>
      <c r="D1161" t="s">
        <v>1522</v>
      </c>
      <c r="E1161" t="s">
        <v>1524</v>
      </c>
      <c r="F1161" t="s">
        <v>1536</v>
      </c>
      <c r="G1161" t="s">
        <v>1549</v>
      </c>
      <c r="H1161" t="s">
        <v>1551</v>
      </c>
      <c r="I1161">
        <v>2025</v>
      </c>
      <c r="J1161" t="s">
        <v>1554</v>
      </c>
      <c r="K1161" t="s">
        <v>1556</v>
      </c>
      <c r="L1161">
        <v>1018598</v>
      </c>
      <c r="M1161">
        <v>852068</v>
      </c>
      <c r="N1161">
        <v>166530</v>
      </c>
      <c r="O1161">
        <v>54</v>
      </c>
      <c r="P1161" t="str">
        <f t="shared" si="37"/>
        <v>senior</v>
      </c>
      <c r="Q1161" t="s">
        <v>1558</v>
      </c>
      <c r="R1161" t="s">
        <v>1561</v>
      </c>
      <c r="S1161" t="s">
        <v>1567</v>
      </c>
      <c r="T1161">
        <v>1850612</v>
      </c>
      <c r="U1161">
        <v>1</v>
      </c>
      <c r="V1161" t="s">
        <v>1577</v>
      </c>
      <c r="W1161" t="s">
        <v>1594</v>
      </c>
      <c r="X1161">
        <v>16.350000000000001</v>
      </c>
    </row>
    <row r="1162" spans="1:24" x14ac:dyDescent="0.25">
      <c r="A1162" t="s">
        <v>1182</v>
      </c>
      <c r="B1162" s="4">
        <v>45872</v>
      </c>
      <c r="C1162" s="4" t="str">
        <f t="shared" si="36"/>
        <v>Aug</v>
      </c>
      <c r="D1162" t="s">
        <v>1522</v>
      </c>
      <c r="E1162" t="s">
        <v>1523</v>
      </c>
      <c r="F1162" t="s">
        <v>1535</v>
      </c>
      <c r="G1162" t="s">
        <v>1543</v>
      </c>
      <c r="H1162" t="s">
        <v>4</v>
      </c>
      <c r="I1162">
        <v>2025</v>
      </c>
      <c r="J1162" t="s">
        <v>1554</v>
      </c>
      <c r="K1162" t="s">
        <v>1557</v>
      </c>
      <c r="L1162">
        <v>1432276</v>
      </c>
      <c r="M1162">
        <v>1196785</v>
      </c>
      <c r="N1162">
        <v>235491</v>
      </c>
      <c r="O1162">
        <v>50</v>
      </c>
      <c r="P1162" t="str">
        <f t="shared" si="37"/>
        <v>adult</v>
      </c>
      <c r="Q1162" t="s">
        <v>1559</v>
      </c>
      <c r="R1162" t="s">
        <v>1563</v>
      </c>
      <c r="S1162" t="s">
        <v>1569</v>
      </c>
      <c r="T1162">
        <v>834835</v>
      </c>
      <c r="U1162">
        <v>2</v>
      </c>
      <c r="V1162" t="s">
        <v>1585</v>
      </c>
      <c r="W1162" t="s">
        <v>1594</v>
      </c>
      <c r="X1162">
        <v>16.440000000000001</v>
      </c>
    </row>
    <row r="1163" spans="1:24" x14ac:dyDescent="0.25">
      <c r="A1163" t="s">
        <v>1183</v>
      </c>
      <c r="B1163" s="4">
        <v>46212</v>
      </c>
      <c r="C1163" s="4" t="str">
        <f t="shared" si="36"/>
        <v>Jul</v>
      </c>
      <c r="D1163" t="s">
        <v>1522</v>
      </c>
      <c r="E1163" t="s">
        <v>1524</v>
      </c>
      <c r="F1163" t="s">
        <v>1537</v>
      </c>
      <c r="G1163" t="s">
        <v>1547</v>
      </c>
      <c r="H1163" t="s">
        <v>4</v>
      </c>
      <c r="I1163">
        <v>2024</v>
      </c>
      <c r="J1163" t="s">
        <v>1554</v>
      </c>
      <c r="K1163" t="s">
        <v>1556</v>
      </c>
      <c r="L1163">
        <v>1674835</v>
      </c>
      <c r="M1163">
        <v>1519996</v>
      </c>
      <c r="N1163">
        <v>154839</v>
      </c>
      <c r="O1163">
        <v>35</v>
      </c>
      <c r="P1163" t="str">
        <f t="shared" si="37"/>
        <v>adult</v>
      </c>
      <c r="Q1163" t="s">
        <v>1558</v>
      </c>
      <c r="R1163" t="s">
        <v>1561</v>
      </c>
      <c r="S1163" t="s">
        <v>1567</v>
      </c>
      <c r="T1163">
        <v>417413</v>
      </c>
      <c r="U1163">
        <v>4</v>
      </c>
      <c r="V1163" t="s">
        <v>1587</v>
      </c>
      <c r="W1163" t="s">
        <v>1594</v>
      </c>
      <c r="X1163">
        <v>9.25</v>
      </c>
    </row>
    <row r="1164" spans="1:24" x14ac:dyDescent="0.25">
      <c r="A1164" t="s">
        <v>1184</v>
      </c>
      <c r="B1164" s="4">
        <v>45724</v>
      </c>
      <c r="C1164" s="4" t="str">
        <f t="shared" si="36"/>
        <v>Mar</v>
      </c>
      <c r="D1164" t="s">
        <v>1522</v>
      </c>
      <c r="E1164" t="s">
        <v>1525</v>
      </c>
      <c r="F1164" t="s">
        <v>1535</v>
      </c>
      <c r="G1164" t="s">
        <v>1548</v>
      </c>
      <c r="H1164" t="s">
        <v>4</v>
      </c>
      <c r="I1164">
        <v>2024</v>
      </c>
      <c r="J1164" t="s">
        <v>1554</v>
      </c>
      <c r="K1164" t="s">
        <v>1556</v>
      </c>
      <c r="L1164">
        <v>1317376</v>
      </c>
      <c r="M1164">
        <v>1157260</v>
      </c>
      <c r="N1164">
        <v>160116</v>
      </c>
      <c r="O1164">
        <v>30</v>
      </c>
      <c r="P1164" t="str">
        <f t="shared" si="37"/>
        <v>young</v>
      </c>
      <c r="Q1164" t="s">
        <v>1558</v>
      </c>
      <c r="R1164" t="s">
        <v>1564</v>
      </c>
      <c r="S1164" t="s">
        <v>1568</v>
      </c>
      <c r="T1164">
        <v>1967371</v>
      </c>
      <c r="U1164">
        <v>4</v>
      </c>
      <c r="V1164" t="s">
        <v>1588</v>
      </c>
      <c r="W1164" t="s">
        <v>1591</v>
      </c>
      <c r="X1164">
        <v>12.15</v>
      </c>
    </row>
    <row r="1165" spans="1:24" x14ac:dyDescent="0.25">
      <c r="A1165" t="s">
        <v>1185</v>
      </c>
      <c r="B1165" s="4">
        <v>45992</v>
      </c>
      <c r="C1165" s="4" t="str">
        <f t="shared" si="36"/>
        <v>Dec</v>
      </c>
      <c r="D1165" t="s">
        <v>1522</v>
      </c>
      <c r="E1165" t="s">
        <v>1524</v>
      </c>
      <c r="F1165" t="s">
        <v>1528</v>
      </c>
      <c r="G1165" t="s">
        <v>1538</v>
      </c>
      <c r="H1165" t="s">
        <v>4</v>
      </c>
      <c r="I1165">
        <v>2023</v>
      </c>
      <c r="J1165" t="s">
        <v>1554</v>
      </c>
      <c r="K1165" t="s">
        <v>1557</v>
      </c>
      <c r="L1165">
        <v>1241541</v>
      </c>
      <c r="M1165">
        <v>1078413</v>
      </c>
      <c r="N1165">
        <v>163128</v>
      </c>
      <c r="O1165">
        <v>65</v>
      </c>
      <c r="P1165" t="str">
        <f t="shared" si="37"/>
        <v>senior</v>
      </c>
      <c r="Q1165" t="s">
        <v>1558</v>
      </c>
      <c r="R1165" t="s">
        <v>1563</v>
      </c>
      <c r="S1165" t="s">
        <v>1567</v>
      </c>
      <c r="T1165">
        <v>1738292</v>
      </c>
      <c r="U1165">
        <v>1</v>
      </c>
      <c r="V1165" t="s">
        <v>1575</v>
      </c>
      <c r="W1165" t="s">
        <v>1593</v>
      </c>
      <c r="X1165">
        <v>13.14</v>
      </c>
    </row>
    <row r="1166" spans="1:24" x14ac:dyDescent="0.25">
      <c r="A1166" t="s">
        <v>1186</v>
      </c>
      <c r="B1166" s="4">
        <v>46147</v>
      </c>
      <c r="C1166" s="4" t="str">
        <f t="shared" si="36"/>
        <v>May</v>
      </c>
      <c r="D1166" t="s">
        <v>1522</v>
      </c>
      <c r="E1166" t="s">
        <v>1523</v>
      </c>
      <c r="F1166" t="s">
        <v>1534</v>
      </c>
      <c r="G1166" t="s">
        <v>1538</v>
      </c>
      <c r="H1166" t="s">
        <v>4</v>
      </c>
      <c r="I1166">
        <v>2025</v>
      </c>
      <c r="J1166" t="s">
        <v>1554</v>
      </c>
      <c r="K1166" t="s">
        <v>1556</v>
      </c>
      <c r="L1166">
        <v>1410838</v>
      </c>
      <c r="M1166">
        <v>1150905</v>
      </c>
      <c r="N1166">
        <v>259933</v>
      </c>
      <c r="O1166">
        <v>58</v>
      </c>
      <c r="P1166" t="str">
        <f t="shared" si="37"/>
        <v>senior</v>
      </c>
      <c r="Q1166" t="s">
        <v>1559</v>
      </c>
      <c r="R1166" t="s">
        <v>1566</v>
      </c>
      <c r="S1166" t="s">
        <v>1568</v>
      </c>
      <c r="T1166">
        <v>731298</v>
      </c>
      <c r="U1166">
        <v>2</v>
      </c>
      <c r="V1166" t="s">
        <v>1590</v>
      </c>
      <c r="W1166" t="s">
        <v>1592</v>
      </c>
      <c r="X1166">
        <v>18.420000000000002</v>
      </c>
    </row>
    <row r="1167" spans="1:24" x14ac:dyDescent="0.25">
      <c r="A1167" t="s">
        <v>1187</v>
      </c>
      <c r="B1167" s="4">
        <v>45827</v>
      </c>
      <c r="C1167" s="4" t="str">
        <f t="shared" si="36"/>
        <v>Jun</v>
      </c>
      <c r="D1167" t="s">
        <v>1522</v>
      </c>
      <c r="E1167" t="s">
        <v>1523</v>
      </c>
      <c r="F1167" t="s">
        <v>1535</v>
      </c>
      <c r="G1167" t="s">
        <v>1539</v>
      </c>
      <c r="H1167" t="s">
        <v>1552</v>
      </c>
      <c r="I1167">
        <v>2024</v>
      </c>
      <c r="J1167" t="s">
        <v>1555</v>
      </c>
      <c r="K1167" t="s">
        <v>1556</v>
      </c>
      <c r="L1167">
        <v>1876204</v>
      </c>
      <c r="M1167">
        <v>1576166</v>
      </c>
      <c r="N1167">
        <v>300038</v>
      </c>
      <c r="O1167">
        <v>29</v>
      </c>
      <c r="P1167" t="str">
        <f t="shared" si="37"/>
        <v>young</v>
      </c>
      <c r="Q1167" t="s">
        <v>1558</v>
      </c>
      <c r="R1167" t="s">
        <v>1562</v>
      </c>
      <c r="S1167" t="s">
        <v>1567</v>
      </c>
      <c r="T1167">
        <v>532507</v>
      </c>
      <c r="U1167">
        <v>4</v>
      </c>
      <c r="V1167" t="s">
        <v>1584</v>
      </c>
      <c r="W1167" t="s">
        <v>1592</v>
      </c>
      <c r="X1167">
        <v>15.99</v>
      </c>
    </row>
    <row r="1168" spans="1:24" x14ac:dyDescent="0.25">
      <c r="A1168" t="s">
        <v>1188</v>
      </c>
      <c r="B1168" s="4">
        <v>46229</v>
      </c>
      <c r="C1168" s="4" t="str">
        <f t="shared" si="36"/>
        <v>Jul</v>
      </c>
      <c r="D1168" t="s">
        <v>1522</v>
      </c>
      <c r="E1168" t="s">
        <v>1525</v>
      </c>
      <c r="F1168" t="s">
        <v>1533</v>
      </c>
      <c r="G1168" t="s">
        <v>1539</v>
      </c>
      <c r="H1168" t="s">
        <v>4</v>
      </c>
      <c r="I1168">
        <v>2023</v>
      </c>
      <c r="J1168" t="s">
        <v>1554</v>
      </c>
      <c r="K1168" t="s">
        <v>1557</v>
      </c>
      <c r="L1168">
        <v>1841963</v>
      </c>
      <c r="M1168">
        <v>1641490</v>
      </c>
      <c r="N1168">
        <v>200473</v>
      </c>
      <c r="O1168">
        <v>65</v>
      </c>
      <c r="P1168" t="str">
        <f t="shared" si="37"/>
        <v>senior</v>
      </c>
      <c r="Q1168" t="s">
        <v>1558</v>
      </c>
      <c r="R1168" t="s">
        <v>1561</v>
      </c>
      <c r="S1168" t="s">
        <v>1567</v>
      </c>
      <c r="T1168">
        <v>501394</v>
      </c>
      <c r="U1168">
        <v>3</v>
      </c>
      <c r="V1168" t="s">
        <v>1587</v>
      </c>
      <c r="W1168" t="s">
        <v>1594</v>
      </c>
      <c r="X1168">
        <v>10.88</v>
      </c>
    </row>
    <row r="1169" spans="1:24" x14ac:dyDescent="0.25">
      <c r="A1169" t="s">
        <v>1189</v>
      </c>
      <c r="B1169" s="4">
        <v>46258</v>
      </c>
      <c r="C1169" s="4" t="str">
        <f t="shared" si="36"/>
        <v>Aug</v>
      </c>
      <c r="D1169" t="s">
        <v>1522</v>
      </c>
      <c r="E1169" t="s">
        <v>1523</v>
      </c>
      <c r="F1169" t="s">
        <v>1529</v>
      </c>
      <c r="G1169" t="s">
        <v>1538</v>
      </c>
      <c r="H1169" t="s">
        <v>1552</v>
      </c>
      <c r="I1169">
        <v>2026</v>
      </c>
      <c r="J1169" t="s">
        <v>1555</v>
      </c>
      <c r="K1169" t="s">
        <v>1556</v>
      </c>
      <c r="L1169">
        <v>1961979</v>
      </c>
      <c r="M1169">
        <v>1603994</v>
      </c>
      <c r="N1169">
        <v>357985</v>
      </c>
      <c r="O1169">
        <v>30</v>
      </c>
      <c r="P1169" t="str">
        <f t="shared" si="37"/>
        <v>young</v>
      </c>
      <c r="Q1169" t="s">
        <v>1559</v>
      </c>
      <c r="R1169" t="s">
        <v>1563</v>
      </c>
      <c r="S1169" t="s">
        <v>1568</v>
      </c>
      <c r="T1169">
        <v>1498051</v>
      </c>
      <c r="U1169">
        <v>4</v>
      </c>
      <c r="V1169" t="s">
        <v>1576</v>
      </c>
      <c r="W1169" t="s">
        <v>1594</v>
      </c>
      <c r="X1169">
        <v>18.25</v>
      </c>
    </row>
    <row r="1170" spans="1:24" x14ac:dyDescent="0.25">
      <c r="A1170" t="s">
        <v>1190</v>
      </c>
      <c r="B1170" s="4">
        <v>45845</v>
      </c>
      <c r="C1170" s="4" t="str">
        <f t="shared" si="36"/>
        <v>Jul</v>
      </c>
      <c r="D1170" t="s">
        <v>1522</v>
      </c>
      <c r="E1170" t="s">
        <v>1526</v>
      </c>
      <c r="F1170" t="s">
        <v>1534</v>
      </c>
      <c r="G1170" t="s">
        <v>1546</v>
      </c>
      <c r="H1170" t="s">
        <v>4</v>
      </c>
      <c r="I1170">
        <v>2024</v>
      </c>
      <c r="J1170" t="s">
        <v>1554</v>
      </c>
      <c r="K1170" t="s">
        <v>1556</v>
      </c>
      <c r="L1170">
        <v>1820760</v>
      </c>
      <c r="M1170">
        <v>1669100</v>
      </c>
      <c r="N1170">
        <v>151660</v>
      </c>
      <c r="O1170">
        <v>41</v>
      </c>
      <c r="P1170" t="str">
        <f t="shared" si="37"/>
        <v>adult</v>
      </c>
      <c r="Q1170" t="s">
        <v>1560</v>
      </c>
      <c r="R1170" t="s">
        <v>1563</v>
      </c>
      <c r="S1170" t="s">
        <v>1567</v>
      </c>
      <c r="T1170">
        <v>279367</v>
      </c>
      <c r="U1170">
        <v>1</v>
      </c>
      <c r="V1170" t="s">
        <v>1579</v>
      </c>
      <c r="W1170" t="s">
        <v>1594</v>
      </c>
      <c r="X1170">
        <v>8.33</v>
      </c>
    </row>
    <row r="1171" spans="1:24" x14ac:dyDescent="0.25">
      <c r="A1171" t="s">
        <v>1191</v>
      </c>
      <c r="B1171" s="4">
        <v>46224</v>
      </c>
      <c r="C1171" s="4" t="str">
        <f t="shared" si="36"/>
        <v>Jul</v>
      </c>
      <c r="D1171" t="s">
        <v>1522</v>
      </c>
      <c r="E1171" t="s">
        <v>1527</v>
      </c>
      <c r="F1171" t="s">
        <v>1536</v>
      </c>
      <c r="G1171" t="s">
        <v>1542</v>
      </c>
      <c r="H1171" t="s">
        <v>1551</v>
      </c>
      <c r="I1171">
        <v>2024</v>
      </c>
      <c r="J1171" t="s">
        <v>1554</v>
      </c>
      <c r="K1171" t="s">
        <v>1556</v>
      </c>
      <c r="L1171">
        <v>942669</v>
      </c>
      <c r="M1171">
        <v>834443</v>
      </c>
      <c r="N1171">
        <v>108226</v>
      </c>
      <c r="O1171">
        <v>28</v>
      </c>
      <c r="P1171" t="str">
        <f t="shared" si="37"/>
        <v>young</v>
      </c>
      <c r="Q1171" t="s">
        <v>1559</v>
      </c>
      <c r="R1171" t="s">
        <v>1562</v>
      </c>
      <c r="S1171" t="s">
        <v>1570</v>
      </c>
      <c r="T1171">
        <v>1543245</v>
      </c>
      <c r="U1171">
        <v>5</v>
      </c>
      <c r="V1171" t="s">
        <v>1587</v>
      </c>
      <c r="W1171" t="s">
        <v>1594</v>
      </c>
      <c r="X1171">
        <v>11.48</v>
      </c>
    </row>
    <row r="1172" spans="1:24" x14ac:dyDescent="0.25">
      <c r="A1172" t="s">
        <v>1192</v>
      </c>
      <c r="B1172" s="4">
        <v>46066</v>
      </c>
      <c r="C1172" s="4" t="str">
        <f t="shared" si="36"/>
        <v>Feb</v>
      </c>
      <c r="D1172" t="s">
        <v>1522</v>
      </c>
      <c r="E1172" t="s">
        <v>1527</v>
      </c>
      <c r="F1172" t="s">
        <v>1531</v>
      </c>
      <c r="G1172" t="s">
        <v>1544</v>
      </c>
      <c r="H1172" t="s">
        <v>1551</v>
      </c>
      <c r="I1172">
        <v>2024</v>
      </c>
      <c r="J1172" t="s">
        <v>1554</v>
      </c>
      <c r="K1172" t="s">
        <v>1557</v>
      </c>
      <c r="L1172">
        <v>818716</v>
      </c>
      <c r="M1172">
        <v>765474</v>
      </c>
      <c r="N1172">
        <v>53242</v>
      </c>
      <c r="O1172">
        <v>29</v>
      </c>
      <c r="P1172" t="str">
        <f t="shared" si="37"/>
        <v>young</v>
      </c>
      <c r="Q1172" t="s">
        <v>1558</v>
      </c>
      <c r="R1172" t="s">
        <v>1563</v>
      </c>
      <c r="S1172" t="s">
        <v>1567</v>
      </c>
      <c r="T1172">
        <v>2152158</v>
      </c>
      <c r="U1172">
        <v>5</v>
      </c>
      <c r="V1172" t="s">
        <v>1589</v>
      </c>
      <c r="W1172" t="s">
        <v>1591</v>
      </c>
      <c r="X1172">
        <v>6.5</v>
      </c>
    </row>
    <row r="1173" spans="1:24" x14ac:dyDescent="0.25">
      <c r="A1173" t="s">
        <v>1193</v>
      </c>
      <c r="B1173" s="4">
        <v>45960</v>
      </c>
      <c r="C1173" s="4" t="str">
        <f t="shared" si="36"/>
        <v>Oct</v>
      </c>
      <c r="D1173" t="s">
        <v>1522</v>
      </c>
      <c r="E1173" t="s">
        <v>1524</v>
      </c>
      <c r="F1173" t="s">
        <v>1530</v>
      </c>
      <c r="G1173" t="s">
        <v>1545</v>
      </c>
      <c r="H1173" t="s">
        <v>1550</v>
      </c>
      <c r="I1173">
        <v>2025</v>
      </c>
      <c r="J1173" t="s">
        <v>1554</v>
      </c>
      <c r="K1173" t="s">
        <v>1557</v>
      </c>
      <c r="L1173">
        <v>1482631</v>
      </c>
      <c r="M1173">
        <v>1224317</v>
      </c>
      <c r="N1173">
        <v>258314</v>
      </c>
      <c r="O1173">
        <v>41</v>
      </c>
      <c r="P1173" t="str">
        <f t="shared" si="37"/>
        <v>adult</v>
      </c>
      <c r="Q1173" t="s">
        <v>1559</v>
      </c>
      <c r="R1173" t="s">
        <v>1563</v>
      </c>
      <c r="S1173" t="s">
        <v>1570</v>
      </c>
      <c r="T1173">
        <v>1348607</v>
      </c>
      <c r="U1173">
        <v>4</v>
      </c>
      <c r="V1173" t="s">
        <v>1574</v>
      </c>
      <c r="W1173" t="s">
        <v>1593</v>
      </c>
      <c r="X1173">
        <v>17.420000000000002</v>
      </c>
    </row>
    <row r="1174" spans="1:24" x14ac:dyDescent="0.25">
      <c r="A1174" t="s">
        <v>1194</v>
      </c>
      <c r="B1174" s="4">
        <v>46229</v>
      </c>
      <c r="C1174" s="4" t="str">
        <f t="shared" si="36"/>
        <v>Jul</v>
      </c>
      <c r="D1174" t="s">
        <v>1522</v>
      </c>
      <c r="E1174" t="s">
        <v>1523</v>
      </c>
      <c r="F1174" t="s">
        <v>1534</v>
      </c>
      <c r="G1174" t="s">
        <v>1546</v>
      </c>
      <c r="H1174" t="s">
        <v>1550</v>
      </c>
      <c r="I1174">
        <v>2025</v>
      </c>
      <c r="J1174" t="s">
        <v>1554</v>
      </c>
      <c r="K1174" t="s">
        <v>1556</v>
      </c>
      <c r="L1174">
        <v>1374692</v>
      </c>
      <c r="M1174">
        <v>1216173</v>
      </c>
      <c r="N1174">
        <v>158519</v>
      </c>
      <c r="O1174">
        <v>60</v>
      </c>
      <c r="P1174" t="str">
        <f t="shared" si="37"/>
        <v>senior</v>
      </c>
      <c r="Q1174" t="s">
        <v>1558</v>
      </c>
      <c r="R1174" t="s">
        <v>1561</v>
      </c>
      <c r="S1174" t="s">
        <v>1568</v>
      </c>
      <c r="T1174">
        <v>1254484</v>
      </c>
      <c r="U1174">
        <v>1</v>
      </c>
      <c r="V1174" t="s">
        <v>1587</v>
      </c>
      <c r="W1174" t="s">
        <v>1594</v>
      </c>
      <c r="X1174">
        <v>11.53</v>
      </c>
    </row>
    <row r="1175" spans="1:24" x14ac:dyDescent="0.25">
      <c r="A1175" t="s">
        <v>1195</v>
      </c>
      <c r="B1175" s="4">
        <v>45946</v>
      </c>
      <c r="C1175" s="4" t="str">
        <f t="shared" si="36"/>
        <v>Oct</v>
      </c>
      <c r="D1175" t="s">
        <v>1522</v>
      </c>
      <c r="E1175" t="s">
        <v>1523</v>
      </c>
      <c r="F1175" t="s">
        <v>1528</v>
      </c>
      <c r="G1175" t="s">
        <v>1541</v>
      </c>
      <c r="H1175" t="s">
        <v>1551</v>
      </c>
      <c r="I1175">
        <v>2025</v>
      </c>
      <c r="J1175" t="s">
        <v>1554</v>
      </c>
      <c r="K1175" t="s">
        <v>1556</v>
      </c>
      <c r="L1175">
        <v>1046165</v>
      </c>
      <c r="M1175">
        <v>867276</v>
      </c>
      <c r="N1175">
        <v>178889</v>
      </c>
      <c r="O1175">
        <v>39</v>
      </c>
      <c r="P1175" t="str">
        <f t="shared" si="37"/>
        <v>adult</v>
      </c>
      <c r="Q1175" t="s">
        <v>1558</v>
      </c>
      <c r="R1175" t="s">
        <v>1563</v>
      </c>
      <c r="S1175" t="s">
        <v>1569</v>
      </c>
      <c r="T1175">
        <v>1001647</v>
      </c>
      <c r="U1175">
        <v>5</v>
      </c>
      <c r="V1175" t="s">
        <v>1574</v>
      </c>
      <c r="W1175" t="s">
        <v>1593</v>
      </c>
      <c r="X1175">
        <v>17.100000000000001</v>
      </c>
    </row>
    <row r="1176" spans="1:24" x14ac:dyDescent="0.25">
      <c r="A1176" t="s">
        <v>1196</v>
      </c>
      <c r="B1176" s="4">
        <v>46212</v>
      </c>
      <c r="C1176" s="4" t="str">
        <f t="shared" si="36"/>
        <v>Jul</v>
      </c>
      <c r="D1176" t="s">
        <v>1522</v>
      </c>
      <c r="E1176" t="s">
        <v>1526</v>
      </c>
      <c r="F1176" t="s">
        <v>1529</v>
      </c>
      <c r="G1176" t="s">
        <v>1541</v>
      </c>
      <c r="H1176" t="s">
        <v>1550</v>
      </c>
      <c r="I1176">
        <v>2024</v>
      </c>
      <c r="J1176" t="s">
        <v>1554</v>
      </c>
      <c r="K1176" t="s">
        <v>1556</v>
      </c>
      <c r="L1176">
        <v>1499672</v>
      </c>
      <c r="M1176">
        <v>1300951</v>
      </c>
      <c r="N1176">
        <v>198721</v>
      </c>
      <c r="O1176">
        <v>54</v>
      </c>
      <c r="P1176" t="str">
        <f t="shared" si="37"/>
        <v>senior</v>
      </c>
      <c r="Q1176" t="s">
        <v>1559</v>
      </c>
      <c r="R1176" t="s">
        <v>1562</v>
      </c>
      <c r="S1176" t="s">
        <v>1567</v>
      </c>
      <c r="T1176">
        <v>1017975</v>
      </c>
      <c r="U1176">
        <v>1</v>
      </c>
      <c r="V1176" t="s">
        <v>1587</v>
      </c>
      <c r="W1176" t="s">
        <v>1594</v>
      </c>
      <c r="X1176">
        <v>13.25</v>
      </c>
    </row>
    <row r="1177" spans="1:24" x14ac:dyDescent="0.25">
      <c r="A1177" t="s">
        <v>1197</v>
      </c>
      <c r="B1177" s="4">
        <v>46205</v>
      </c>
      <c r="C1177" s="4" t="str">
        <f t="shared" si="36"/>
        <v>Jul</v>
      </c>
      <c r="D1177" t="s">
        <v>1522</v>
      </c>
      <c r="E1177" t="s">
        <v>1523</v>
      </c>
      <c r="F1177" t="s">
        <v>1532</v>
      </c>
      <c r="G1177" t="s">
        <v>1540</v>
      </c>
      <c r="H1177" t="s">
        <v>4</v>
      </c>
      <c r="I1177">
        <v>2026</v>
      </c>
      <c r="J1177" t="s">
        <v>1554</v>
      </c>
      <c r="K1177" t="s">
        <v>1556</v>
      </c>
      <c r="L1177">
        <v>1640822</v>
      </c>
      <c r="M1177">
        <v>1567273</v>
      </c>
      <c r="N1177">
        <v>73549</v>
      </c>
      <c r="O1177">
        <v>53</v>
      </c>
      <c r="P1177" t="str">
        <f t="shared" si="37"/>
        <v>senior</v>
      </c>
      <c r="Q1177" t="s">
        <v>1558</v>
      </c>
      <c r="R1177" t="s">
        <v>1563</v>
      </c>
      <c r="S1177" t="s">
        <v>1567</v>
      </c>
      <c r="T1177">
        <v>367437</v>
      </c>
      <c r="U1177">
        <v>1</v>
      </c>
      <c r="V1177" t="s">
        <v>1587</v>
      </c>
      <c r="W1177" t="s">
        <v>1594</v>
      </c>
      <c r="X1177">
        <v>4.4800000000000004</v>
      </c>
    </row>
    <row r="1178" spans="1:24" x14ac:dyDescent="0.25">
      <c r="A1178" t="s">
        <v>1198</v>
      </c>
      <c r="B1178" s="4">
        <v>45963</v>
      </c>
      <c r="C1178" s="4" t="str">
        <f t="shared" si="36"/>
        <v>Nov</v>
      </c>
      <c r="D1178" t="s">
        <v>1522</v>
      </c>
      <c r="E1178" t="s">
        <v>1524</v>
      </c>
      <c r="F1178" t="s">
        <v>1534</v>
      </c>
      <c r="G1178" t="s">
        <v>1546</v>
      </c>
      <c r="H1178" t="s">
        <v>1550</v>
      </c>
      <c r="I1178">
        <v>2024</v>
      </c>
      <c r="J1178" t="s">
        <v>1554</v>
      </c>
      <c r="K1178" t="s">
        <v>1557</v>
      </c>
      <c r="L1178">
        <v>1304095</v>
      </c>
      <c r="M1178">
        <v>1133169</v>
      </c>
      <c r="N1178">
        <v>170926</v>
      </c>
      <c r="O1178">
        <v>65</v>
      </c>
      <c r="P1178" t="str">
        <f t="shared" si="37"/>
        <v>senior</v>
      </c>
      <c r="Q1178" t="s">
        <v>1558</v>
      </c>
      <c r="R1178" t="s">
        <v>1566</v>
      </c>
      <c r="S1178" t="s">
        <v>1570</v>
      </c>
      <c r="T1178">
        <v>1079740</v>
      </c>
      <c r="U1178">
        <v>1</v>
      </c>
      <c r="V1178" t="s">
        <v>1583</v>
      </c>
      <c r="W1178" t="s">
        <v>1593</v>
      </c>
      <c r="X1178">
        <v>13.11</v>
      </c>
    </row>
    <row r="1179" spans="1:24" x14ac:dyDescent="0.25">
      <c r="A1179" t="s">
        <v>1199</v>
      </c>
      <c r="B1179" s="4">
        <v>45844</v>
      </c>
      <c r="C1179" s="4" t="str">
        <f t="shared" si="36"/>
        <v>Jul</v>
      </c>
      <c r="D1179" t="s">
        <v>1522</v>
      </c>
      <c r="E1179" t="s">
        <v>1527</v>
      </c>
      <c r="F1179" t="s">
        <v>1534</v>
      </c>
      <c r="G1179" t="s">
        <v>1539</v>
      </c>
      <c r="H1179" t="s">
        <v>1551</v>
      </c>
      <c r="I1179">
        <v>2022</v>
      </c>
      <c r="J1179" t="s">
        <v>1554</v>
      </c>
      <c r="K1179" t="s">
        <v>1556</v>
      </c>
      <c r="L1179">
        <v>991464</v>
      </c>
      <c r="M1179">
        <v>837830</v>
      </c>
      <c r="N1179">
        <v>153634</v>
      </c>
      <c r="O1179">
        <v>38</v>
      </c>
      <c r="P1179" t="str">
        <f t="shared" si="37"/>
        <v>adult</v>
      </c>
      <c r="Q1179" t="s">
        <v>1559</v>
      </c>
      <c r="R1179" t="s">
        <v>1565</v>
      </c>
      <c r="S1179" t="s">
        <v>1567</v>
      </c>
      <c r="T1179">
        <v>1725380</v>
      </c>
      <c r="U1179">
        <v>1</v>
      </c>
      <c r="V1179" t="s">
        <v>1579</v>
      </c>
      <c r="W1179" t="s">
        <v>1594</v>
      </c>
      <c r="X1179">
        <v>15.5</v>
      </c>
    </row>
    <row r="1180" spans="1:24" x14ac:dyDescent="0.25">
      <c r="A1180" t="s">
        <v>1200</v>
      </c>
      <c r="B1180" s="4">
        <v>46098</v>
      </c>
      <c r="C1180" s="4" t="str">
        <f t="shared" si="36"/>
        <v>Mar</v>
      </c>
      <c r="D1180" t="s">
        <v>1522</v>
      </c>
      <c r="E1180" t="s">
        <v>1526</v>
      </c>
      <c r="F1180" t="s">
        <v>1531</v>
      </c>
      <c r="G1180" t="s">
        <v>1540</v>
      </c>
      <c r="H1180" t="s">
        <v>4</v>
      </c>
      <c r="I1180">
        <v>2025</v>
      </c>
      <c r="J1180" t="s">
        <v>1554</v>
      </c>
      <c r="K1180" t="s">
        <v>1556</v>
      </c>
      <c r="L1180">
        <v>1395637</v>
      </c>
      <c r="M1180">
        <v>1124881</v>
      </c>
      <c r="N1180">
        <v>270756</v>
      </c>
      <c r="O1180">
        <v>65</v>
      </c>
      <c r="P1180" t="str">
        <f t="shared" si="37"/>
        <v>senior</v>
      </c>
      <c r="Q1180" t="s">
        <v>1559</v>
      </c>
      <c r="R1180" t="s">
        <v>1562</v>
      </c>
      <c r="S1180" t="s">
        <v>1569</v>
      </c>
      <c r="T1180">
        <v>1616028</v>
      </c>
      <c r="U1180">
        <v>4</v>
      </c>
      <c r="V1180" t="s">
        <v>1586</v>
      </c>
      <c r="W1180" t="s">
        <v>1591</v>
      </c>
      <c r="X1180">
        <v>19.399999999999999</v>
      </c>
    </row>
    <row r="1181" spans="1:24" x14ac:dyDescent="0.25">
      <c r="A1181" t="s">
        <v>1201</v>
      </c>
      <c r="B1181" s="4">
        <v>46242</v>
      </c>
      <c r="C1181" s="4" t="str">
        <f t="shared" si="36"/>
        <v>Aug</v>
      </c>
      <c r="D1181" t="s">
        <v>1522</v>
      </c>
      <c r="E1181" t="s">
        <v>1523</v>
      </c>
      <c r="F1181" t="s">
        <v>1531</v>
      </c>
      <c r="G1181" t="s">
        <v>1547</v>
      </c>
      <c r="H1181" t="s">
        <v>4</v>
      </c>
      <c r="I1181">
        <v>2026</v>
      </c>
      <c r="J1181" t="s">
        <v>1554</v>
      </c>
      <c r="K1181" t="s">
        <v>1556</v>
      </c>
      <c r="L1181">
        <v>1436188</v>
      </c>
      <c r="M1181">
        <v>1284982</v>
      </c>
      <c r="N1181">
        <v>151206</v>
      </c>
      <c r="O1181">
        <v>43</v>
      </c>
      <c r="P1181" t="str">
        <f t="shared" si="37"/>
        <v>adult</v>
      </c>
      <c r="Q1181" t="s">
        <v>1559</v>
      </c>
      <c r="R1181" t="s">
        <v>1565</v>
      </c>
      <c r="S1181" t="s">
        <v>1567</v>
      </c>
      <c r="T1181">
        <v>300074</v>
      </c>
      <c r="U1181">
        <v>4</v>
      </c>
      <c r="V1181" t="s">
        <v>1576</v>
      </c>
      <c r="W1181" t="s">
        <v>1594</v>
      </c>
      <c r="X1181">
        <v>10.53</v>
      </c>
    </row>
    <row r="1182" spans="1:24" x14ac:dyDescent="0.25">
      <c r="A1182" t="s">
        <v>1202</v>
      </c>
      <c r="B1182" s="4">
        <v>45919</v>
      </c>
      <c r="C1182" s="4" t="str">
        <f t="shared" si="36"/>
        <v>Sep</v>
      </c>
      <c r="D1182" t="s">
        <v>1522</v>
      </c>
      <c r="E1182" t="s">
        <v>1526</v>
      </c>
      <c r="F1182" t="s">
        <v>1537</v>
      </c>
      <c r="G1182" t="s">
        <v>1549</v>
      </c>
      <c r="H1182" t="s">
        <v>4</v>
      </c>
      <c r="I1182">
        <v>2023</v>
      </c>
      <c r="J1182" t="s">
        <v>1554</v>
      </c>
      <c r="K1182" t="s">
        <v>1556</v>
      </c>
      <c r="L1182">
        <v>1387447</v>
      </c>
      <c r="M1182">
        <v>1157481</v>
      </c>
      <c r="N1182">
        <v>229966</v>
      </c>
      <c r="O1182">
        <v>27</v>
      </c>
      <c r="P1182" t="str">
        <f t="shared" si="37"/>
        <v>young</v>
      </c>
      <c r="Q1182" t="s">
        <v>1558</v>
      </c>
      <c r="R1182" t="s">
        <v>1561</v>
      </c>
      <c r="S1182" t="s">
        <v>1568</v>
      </c>
      <c r="T1182">
        <v>42365</v>
      </c>
      <c r="U1182">
        <v>5</v>
      </c>
      <c r="V1182" t="s">
        <v>1577</v>
      </c>
      <c r="W1182" t="s">
        <v>1594</v>
      </c>
      <c r="X1182">
        <v>16.57</v>
      </c>
    </row>
    <row r="1183" spans="1:24" x14ac:dyDescent="0.25">
      <c r="A1183" t="s">
        <v>1203</v>
      </c>
      <c r="B1183" s="4">
        <v>45728</v>
      </c>
      <c r="C1183" s="4" t="str">
        <f t="shared" si="36"/>
        <v>Mar</v>
      </c>
      <c r="D1183" t="s">
        <v>1522</v>
      </c>
      <c r="E1183" t="s">
        <v>1523</v>
      </c>
      <c r="F1183" t="s">
        <v>1535</v>
      </c>
      <c r="G1183" t="s">
        <v>1548</v>
      </c>
      <c r="H1183" t="s">
        <v>1550</v>
      </c>
      <c r="I1183">
        <v>2023</v>
      </c>
      <c r="J1183" t="s">
        <v>1554</v>
      </c>
      <c r="K1183" t="s">
        <v>1556</v>
      </c>
      <c r="L1183">
        <v>1368675</v>
      </c>
      <c r="M1183">
        <v>1166760</v>
      </c>
      <c r="N1183">
        <v>201915</v>
      </c>
      <c r="O1183">
        <v>35</v>
      </c>
      <c r="P1183" t="str">
        <f t="shared" si="37"/>
        <v>adult</v>
      </c>
      <c r="Q1183" t="s">
        <v>1558</v>
      </c>
      <c r="R1183" t="s">
        <v>1564</v>
      </c>
      <c r="S1183" t="s">
        <v>1567</v>
      </c>
      <c r="T1183">
        <v>1494083</v>
      </c>
      <c r="U1183">
        <v>1</v>
      </c>
      <c r="V1183" t="s">
        <v>1588</v>
      </c>
      <c r="W1183" t="s">
        <v>1591</v>
      </c>
      <c r="X1183">
        <v>14.75</v>
      </c>
    </row>
    <row r="1184" spans="1:24" x14ac:dyDescent="0.25">
      <c r="A1184" t="s">
        <v>1204</v>
      </c>
      <c r="B1184" s="4">
        <v>46012</v>
      </c>
      <c r="C1184" s="4" t="str">
        <f t="shared" si="36"/>
        <v>Dec</v>
      </c>
      <c r="D1184" t="s">
        <v>1522</v>
      </c>
      <c r="E1184" t="s">
        <v>1523</v>
      </c>
      <c r="F1184" t="s">
        <v>1534</v>
      </c>
      <c r="G1184" t="s">
        <v>1541</v>
      </c>
      <c r="H1184" t="s">
        <v>1551</v>
      </c>
      <c r="I1184">
        <v>2022</v>
      </c>
      <c r="J1184" t="s">
        <v>1554</v>
      </c>
      <c r="K1184" t="s">
        <v>1557</v>
      </c>
      <c r="L1184">
        <v>868219</v>
      </c>
      <c r="M1184">
        <v>745586</v>
      </c>
      <c r="N1184">
        <v>122633</v>
      </c>
      <c r="O1184">
        <v>52</v>
      </c>
      <c r="P1184" t="str">
        <f t="shared" si="37"/>
        <v>senior</v>
      </c>
      <c r="Q1184" t="s">
        <v>1559</v>
      </c>
      <c r="R1184" t="s">
        <v>1561</v>
      </c>
      <c r="S1184" t="s">
        <v>1568</v>
      </c>
      <c r="T1184">
        <v>1522008</v>
      </c>
      <c r="U1184">
        <v>1</v>
      </c>
      <c r="V1184" t="s">
        <v>1575</v>
      </c>
      <c r="W1184" t="s">
        <v>1593</v>
      </c>
      <c r="X1184">
        <v>14.12</v>
      </c>
    </row>
    <row r="1185" spans="1:24" x14ac:dyDescent="0.25">
      <c r="A1185" t="s">
        <v>1205</v>
      </c>
      <c r="B1185" s="4">
        <v>45929</v>
      </c>
      <c r="C1185" s="4" t="str">
        <f t="shared" si="36"/>
        <v>Sep</v>
      </c>
      <c r="D1185" t="s">
        <v>1522</v>
      </c>
      <c r="E1185" t="s">
        <v>1523</v>
      </c>
      <c r="F1185" t="s">
        <v>1536</v>
      </c>
      <c r="G1185" t="s">
        <v>1542</v>
      </c>
      <c r="H1185" t="s">
        <v>1551</v>
      </c>
      <c r="I1185">
        <v>2026</v>
      </c>
      <c r="J1185" t="s">
        <v>1554</v>
      </c>
      <c r="K1185" t="s">
        <v>1557</v>
      </c>
      <c r="L1185">
        <v>844475</v>
      </c>
      <c r="M1185">
        <v>772023</v>
      </c>
      <c r="N1185">
        <v>72452</v>
      </c>
      <c r="O1185">
        <v>53</v>
      </c>
      <c r="P1185" t="str">
        <f t="shared" si="37"/>
        <v>senior</v>
      </c>
      <c r="Q1185" t="s">
        <v>1558</v>
      </c>
      <c r="R1185" t="s">
        <v>1565</v>
      </c>
      <c r="S1185" t="s">
        <v>1568</v>
      </c>
      <c r="T1185">
        <v>1940217</v>
      </c>
      <c r="U1185">
        <v>5</v>
      </c>
      <c r="V1185" t="s">
        <v>1577</v>
      </c>
      <c r="W1185" t="s">
        <v>1594</v>
      </c>
      <c r="X1185">
        <v>8.58</v>
      </c>
    </row>
    <row r="1186" spans="1:24" x14ac:dyDescent="0.25">
      <c r="A1186" t="s">
        <v>1206</v>
      </c>
      <c r="B1186" s="4">
        <v>46127</v>
      </c>
      <c r="C1186" s="4" t="str">
        <f t="shared" si="36"/>
        <v>Apr</v>
      </c>
      <c r="D1186" t="s">
        <v>1522</v>
      </c>
      <c r="E1186" t="s">
        <v>1526</v>
      </c>
      <c r="F1186" t="s">
        <v>1531</v>
      </c>
      <c r="G1186" t="s">
        <v>1545</v>
      </c>
      <c r="H1186" t="s">
        <v>1551</v>
      </c>
      <c r="I1186">
        <v>2025</v>
      </c>
      <c r="J1186" t="s">
        <v>1554</v>
      </c>
      <c r="K1186" t="s">
        <v>1556</v>
      </c>
      <c r="L1186">
        <v>747697</v>
      </c>
      <c r="M1186">
        <v>659245</v>
      </c>
      <c r="N1186">
        <v>88452</v>
      </c>
      <c r="O1186">
        <v>42</v>
      </c>
      <c r="P1186" t="str">
        <f t="shared" si="37"/>
        <v>adult</v>
      </c>
      <c r="Q1186" t="s">
        <v>1559</v>
      </c>
      <c r="R1186" t="s">
        <v>1561</v>
      </c>
      <c r="S1186" t="s">
        <v>1568</v>
      </c>
      <c r="T1186">
        <v>524852</v>
      </c>
      <c r="U1186">
        <v>4</v>
      </c>
      <c r="V1186" t="s">
        <v>1580</v>
      </c>
      <c r="W1186" t="s">
        <v>1592</v>
      </c>
      <c r="X1186">
        <v>11.83</v>
      </c>
    </row>
    <row r="1187" spans="1:24" x14ac:dyDescent="0.25">
      <c r="A1187" t="s">
        <v>1207</v>
      </c>
      <c r="B1187" s="4">
        <v>46236</v>
      </c>
      <c r="C1187" s="4" t="str">
        <f t="shared" si="36"/>
        <v>Aug</v>
      </c>
      <c r="D1187" t="s">
        <v>1522</v>
      </c>
      <c r="E1187" t="s">
        <v>1527</v>
      </c>
      <c r="F1187" t="s">
        <v>1535</v>
      </c>
      <c r="G1187" t="s">
        <v>1540</v>
      </c>
      <c r="H1187" t="s">
        <v>4</v>
      </c>
      <c r="I1187">
        <v>2025</v>
      </c>
      <c r="J1187" t="s">
        <v>1554</v>
      </c>
      <c r="K1187" t="s">
        <v>1556</v>
      </c>
      <c r="L1187">
        <v>1531445</v>
      </c>
      <c r="M1187">
        <v>1283050</v>
      </c>
      <c r="N1187">
        <v>248395</v>
      </c>
      <c r="O1187">
        <v>50</v>
      </c>
      <c r="P1187" t="str">
        <f t="shared" si="37"/>
        <v>adult</v>
      </c>
      <c r="Q1187" t="s">
        <v>1558</v>
      </c>
      <c r="R1187" t="s">
        <v>1563</v>
      </c>
      <c r="S1187" t="s">
        <v>1567</v>
      </c>
      <c r="T1187">
        <v>1785431</v>
      </c>
      <c r="U1187">
        <v>5</v>
      </c>
      <c r="V1187" t="s">
        <v>1576</v>
      </c>
      <c r="W1187" t="s">
        <v>1594</v>
      </c>
      <c r="X1187">
        <v>16.22</v>
      </c>
    </row>
    <row r="1188" spans="1:24" x14ac:dyDescent="0.25">
      <c r="A1188" t="s">
        <v>1208</v>
      </c>
      <c r="B1188" s="4">
        <v>45692</v>
      </c>
      <c r="C1188" s="4" t="str">
        <f t="shared" si="36"/>
        <v>Feb</v>
      </c>
      <c r="D1188" t="s">
        <v>1522</v>
      </c>
      <c r="E1188" t="s">
        <v>1524</v>
      </c>
      <c r="F1188" t="s">
        <v>1530</v>
      </c>
      <c r="G1188" t="s">
        <v>1538</v>
      </c>
      <c r="H1188" t="s">
        <v>1552</v>
      </c>
      <c r="I1188">
        <v>2026</v>
      </c>
      <c r="J1188" t="s">
        <v>1555</v>
      </c>
      <c r="K1188" t="s">
        <v>1556</v>
      </c>
      <c r="L1188">
        <v>1939134</v>
      </c>
      <c r="M1188">
        <v>1714723</v>
      </c>
      <c r="N1188">
        <v>224411</v>
      </c>
      <c r="O1188">
        <v>38</v>
      </c>
      <c r="P1188" t="str">
        <f t="shared" si="37"/>
        <v>adult</v>
      </c>
      <c r="Q1188" t="s">
        <v>1559</v>
      </c>
      <c r="R1188" t="s">
        <v>1561</v>
      </c>
      <c r="S1188" t="s">
        <v>1568</v>
      </c>
      <c r="T1188">
        <v>856607</v>
      </c>
      <c r="U1188">
        <v>3</v>
      </c>
      <c r="V1188" t="s">
        <v>1578</v>
      </c>
      <c r="W1188" t="s">
        <v>1591</v>
      </c>
      <c r="X1188">
        <v>11.57</v>
      </c>
    </row>
    <row r="1189" spans="1:24" x14ac:dyDescent="0.25">
      <c r="A1189" t="s">
        <v>1209</v>
      </c>
      <c r="B1189" s="4">
        <v>46099</v>
      </c>
      <c r="C1189" s="4" t="str">
        <f t="shared" si="36"/>
        <v>Mar</v>
      </c>
      <c r="D1189" t="s">
        <v>1522</v>
      </c>
      <c r="E1189" t="s">
        <v>1525</v>
      </c>
      <c r="F1189" t="s">
        <v>1532</v>
      </c>
      <c r="G1189" t="s">
        <v>1544</v>
      </c>
      <c r="H1189" t="s">
        <v>1550</v>
      </c>
      <c r="I1189">
        <v>2025</v>
      </c>
      <c r="J1189" t="s">
        <v>1554</v>
      </c>
      <c r="K1189" t="s">
        <v>1556</v>
      </c>
      <c r="L1189">
        <v>1599431</v>
      </c>
      <c r="M1189">
        <v>1457451</v>
      </c>
      <c r="N1189">
        <v>141980</v>
      </c>
      <c r="O1189">
        <v>32</v>
      </c>
      <c r="P1189" t="str">
        <f t="shared" si="37"/>
        <v>adult</v>
      </c>
      <c r="Q1189" t="s">
        <v>1559</v>
      </c>
      <c r="R1189" t="s">
        <v>1561</v>
      </c>
      <c r="S1189" t="s">
        <v>1567</v>
      </c>
      <c r="T1189">
        <v>1076517</v>
      </c>
      <c r="U1189">
        <v>5</v>
      </c>
      <c r="V1189" t="s">
        <v>1586</v>
      </c>
      <c r="W1189" t="s">
        <v>1591</v>
      </c>
      <c r="X1189">
        <v>8.8800000000000008</v>
      </c>
    </row>
    <row r="1190" spans="1:24" x14ac:dyDescent="0.25">
      <c r="A1190" t="s">
        <v>1210</v>
      </c>
      <c r="B1190" s="4">
        <v>46122</v>
      </c>
      <c r="C1190" s="4" t="str">
        <f t="shared" si="36"/>
        <v>Apr</v>
      </c>
      <c r="D1190" t="s">
        <v>1522</v>
      </c>
      <c r="E1190" t="s">
        <v>1524</v>
      </c>
      <c r="F1190" t="s">
        <v>1536</v>
      </c>
      <c r="G1190" t="s">
        <v>1549</v>
      </c>
      <c r="H1190" t="s">
        <v>1550</v>
      </c>
      <c r="I1190">
        <v>2025</v>
      </c>
      <c r="J1190" t="s">
        <v>1554</v>
      </c>
      <c r="K1190" t="s">
        <v>1557</v>
      </c>
      <c r="L1190">
        <v>1505207</v>
      </c>
      <c r="M1190">
        <v>1371703</v>
      </c>
      <c r="N1190">
        <v>133504</v>
      </c>
      <c r="O1190">
        <v>52</v>
      </c>
      <c r="P1190" t="str">
        <f t="shared" si="37"/>
        <v>senior</v>
      </c>
      <c r="Q1190" t="s">
        <v>1558</v>
      </c>
      <c r="R1190" t="s">
        <v>1564</v>
      </c>
      <c r="S1190" t="s">
        <v>1569</v>
      </c>
      <c r="T1190">
        <v>928387</v>
      </c>
      <c r="U1190">
        <v>4</v>
      </c>
      <c r="V1190" t="s">
        <v>1580</v>
      </c>
      <c r="W1190" t="s">
        <v>1592</v>
      </c>
      <c r="X1190">
        <v>8.8699999999999992</v>
      </c>
    </row>
    <row r="1191" spans="1:24" x14ac:dyDescent="0.25">
      <c r="A1191" t="s">
        <v>1211</v>
      </c>
      <c r="B1191" s="4">
        <v>46262</v>
      </c>
      <c r="C1191" s="4" t="str">
        <f t="shared" si="36"/>
        <v>Aug</v>
      </c>
      <c r="D1191" t="s">
        <v>1522</v>
      </c>
      <c r="E1191" t="s">
        <v>1526</v>
      </c>
      <c r="F1191" t="s">
        <v>1532</v>
      </c>
      <c r="G1191" t="s">
        <v>1544</v>
      </c>
      <c r="H1191" t="s">
        <v>4</v>
      </c>
      <c r="I1191">
        <v>2024</v>
      </c>
      <c r="J1191" t="s">
        <v>1554</v>
      </c>
      <c r="K1191" t="s">
        <v>1556</v>
      </c>
      <c r="L1191">
        <v>1703446</v>
      </c>
      <c r="M1191">
        <v>1527074</v>
      </c>
      <c r="N1191">
        <v>176372</v>
      </c>
      <c r="O1191">
        <v>65</v>
      </c>
      <c r="P1191" t="str">
        <f t="shared" si="37"/>
        <v>senior</v>
      </c>
      <c r="Q1191" t="s">
        <v>1559</v>
      </c>
      <c r="R1191" t="s">
        <v>1563</v>
      </c>
      <c r="S1191" t="s">
        <v>1567</v>
      </c>
      <c r="T1191">
        <v>2068143</v>
      </c>
      <c r="U1191">
        <v>4</v>
      </c>
      <c r="V1191" t="s">
        <v>1576</v>
      </c>
      <c r="W1191" t="s">
        <v>1594</v>
      </c>
      <c r="X1191">
        <v>10.35</v>
      </c>
    </row>
    <row r="1192" spans="1:24" x14ac:dyDescent="0.25">
      <c r="A1192" t="s">
        <v>1212</v>
      </c>
      <c r="B1192" s="4">
        <v>46229</v>
      </c>
      <c r="C1192" s="4" t="str">
        <f t="shared" si="36"/>
        <v>Jul</v>
      </c>
      <c r="D1192" t="s">
        <v>1522</v>
      </c>
      <c r="E1192" t="s">
        <v>1525</v>
      </c>
      <c r="F1192" t="s">
        <v>1530</v>
      </c>
      <c r="G1192" t="s">
        <v>1544</v>
      </c>
      <c r="H1192" t="s">
        <v>4</v>
      </c>
      <c r="I1192">
        <v>2023</v>
      </c>
      <c r="J1192" t="s">
        <v>1554</v>
      </c>
      <c r="K1192" t="s">
        <v>1557</v>
      </c>
      <c r="L1192">
        <v>1801839</v>
      </c>
      <c r="M1192">
        <v>1514771</v>
      </c>
      <c r="N1192">
        <v>287068</v>
      </c>
      <c r="O1192">
        <v>43</v>
      </c>
      <c r="P1192" t="str">
        <f t="shared" si="37"/>
        <v>adult</v>
      </c>
      <c r="Q1192" t="s">
        <v>1558</v>
      </c>
      <c r="R1192" t="s">
        <v>1566</v>
      </c>
      <c r="S1192" t="s">
        <v>1568</v>
      </c>
      <c r="T1192">
        <v>936449</v>
      </c>
      <c r="U1192">
        <v>5</v>
      </c>
      <c r="V1192" t="s">
        <v>1587</v>
      </c>
      <c r="W1192" t="s">
        <v>1594</v>
      </c>
      <c r="X1192">
        <v>15.93</v>
      </c>
    </row>
    <row r="1193" spans="1:24" x14ac:dyDescent="0.25">
      <c r="A1193" t="s">
        <v>1213</v>
      </c>
      <c r="B1193" s="4">
        <v>45959</v>
      </c>
      <c r="C1193" s="4" t="str">
        <f t="shared" si="36"/>
        <v>Oct</v>
      </c>
      <c r="D1193" t="s">
        <v>1522</v>
      </c>
      <c r="E1193" t="s">
        <v>1524</v>
      </c>
      <c r="F1193" t="s">
        <v>1535</v>
      </c>
      <c r="G1193" t="s">
        <v>1544</v>
      </c>
      <c r="H1193" t="s">
        <v>4</v>
      </c>
      <c r="I1193">
        <v>2024</v>
      </c>
      <c r="J1193" t="s">
        <v>1554</v>
      </c>
      <c r="K1193" t="s">
        <v>1557</v>
      </c>
      <c r="L1193">
        <v>1330488</v>
      </c>
      <c r="M1193">
        <v>1245911</v>
      </c>
      <c r="N1193">
        <v>84577</v>
      </c>
      <c r="O1193">
        <v>59</v>
      </c>
      <c r="P1193" t="str">
        <f t="shared" si="37"/>
        <v>senior</v>
      </c>
      <c r="Q1193" t="s">
        <v>1558</v>
      </c>
      <c r="R1193" t="s">
        <v>1564</v>
      </c>
      <c r="S1193" t="s">
        <v>1568</v>
      </c>
      <c r="T1193">
        <v>876821</v>
      </c>
      <c r="U1193">
        <v>4</v>
      </c>
      <c r="V1193" t="s">
        <v>1574</v>
      </c>
      <c r="W1193" t="s">
        <v>1593</v>
      </c>
      <c r="X1193">
        <v>6.36</v>
      </c>
    </row>
    <row r="1194" spans="1:24" x14ac:dyDescent="0.25">
      <c r="A1194" t="s">
        <v>1214</v>
      </c>
      <c r="B1194" s="4">
        <v>45949</v>
      </c>
      <c r="C1194" s="4" t="str">
        <f t="shared" si="36"/>
        <v>Oct</v>
      </c>
      <c r="D1194" t="s">
        <v>1522</v>
      </c>
      <c r="E1194" t="s">
        <v>1525</v>
      </c>
      <c r="F1194" t="s">
        <v>1533</v>
      </c>
      <c r="G1194" t="s">
        <v>1543</v>
      </c>
      <c r="H1194" t="s">
        <v>1550</v>
      </c>
      <c r="I1194">
        <v>2022</v>
      </c>
      <c r="J1194" t="s">
        <v>1554</v>
      </c>
      <c r="K1194" t="s">
        <v>1556</v>
      </c>
      <c r="L1194">
        <v>1497454</v>
      </c>
      <c r="M1194">
        <v>1331702</v>
      </c>
      <c r="N1194">
        <v>165752</v>
      </c>
      <c r="O1194">
        <v>45</v>
      </c>
      <c r="P1194" t="str">
        <f t="shared" si="37"/>
        <v>adult</v>
      </c>
      <c r="Q1194" t="s">
        <v>1559</v>
      </c>
      <c r="R1194" t="s">
        <v>1562</v>
      </c>
      <c r="S1194" t="s">
        <v>1570</v>
      </c>
      <c r="T1194">
        <v>1930461</v>
      </c>
      <c r="U1194">
        <v>4</v>
      </c>
      <c r="V1194" t="s">
        <v>1574</v>
      </c>
      <c r="W1194" t="s">
        <v>1593</v>
      </c>
      <c r="X1194">
        <v>11.07</v>
      </c>
    </row>
    <row r="1195" spans="1:24" x14ac:dyDescent="0.25">
      <c r="A1195" t="s">
        <v>1215</v>
      </c>
      <c r="B1195" s="4">
        <v>45894</v>
      </c>
      <c r="C1195" s="4" t="str">
        <f t="shared" si="36"/>
        <v>Aug</v>
      </c>
      <c r="D1195" t="s">
        <v>1522</v>
      </c>
      <c r="E1195" t="s">
        <v>1525</v>
      </c>
      <c r="F1195" t="s">
        <v>1532</v>
      </c>
      <c r="G1195" t="s">
        <v>1548</v>
      </c>
      <c r="H1195" t="s">
        <v>4</v>
      </c>
      <c r="I1195">
        <v>2026</v>
      </c>
      <c r="J1195" t="s">
        <v>1554</v>
      </c>
      <c r="K1195" t="s">
        <v>1556</v>
      </c>
      <c r="L1195">
        <v>1523470</v>
      </c>
      <c r="M1195">
        <v>1270086</v>
      </c>
      <c r="N1195">
        <v>253384</v>
      </c>
      <c r="O1195">
        <v>24</v>
      </c>
      <c r="P1195" t="str">
        <f t="shared" si="37"/>
        <v>young</v>
      </c>
      <c r="Q1195" t="s">
        <v>1558</v>
      </c>
      <c r="R1195" t="s">
        <v>1564</v>
      </c>
      <c r="S1195" t="s">
        <v>1567</v>
      </c>
      <c r="T1195">
        <v>1425887</v>
      </c>
      <c r="U1195">
        <v>1</v>
      </c>
      <c r="V1195" t="s">
        <v>1585</v>
      </c>
      <c r="W1195" t="s">
        <v>1594</v>
      </c>
      <c r="X1195">
        <v>16.63</v>
      </c>
    </row>
    <row r="1196" spans="1:24" x14ac:dyDescent="0.25">
      <c r="A1196" t="s">
        <v>1216</v>
      </c>
      <c r="B1196" s="4">
        <v>45910</v>
      </c>
      <c r="C1196" s="4" t="str">
        <f t="shared" si="36"/>
        <v>Sep</v>
      </c>
      <c r="D1196" t="s">
        <v>1522</v>
      </c>
      <c r="E1196" t="s">
        <v>1526</v>
      </c>
      <c r="F1196" t="s">
        <v>1534</v>
      </c>
      <c r="G1196" t="s">
        <v>1539</v>
      </c>
      <c r="H1196" t="s">
        <v>4</v>
      </c>
      <c r="I1196">
        <v>2025</v>
      </c>
      <c r="J1196" t="s">
        <v>1554</v>
      </c>
      <c r="K1196" t="s">
        <v>1557</v>
      </c>
      <c r="L1196">
        <v>1683663</v>
      </c>
      <c r="M1196">
        <v>1532921</v>
      </c>
      <c r="N1196">
        <v>150742</v>
      </c>
      <c r="O1196">
        <v>45</v>
      </c>
      <c r="P1196" t="str">
        <f t="shared" si="37"/>
        <v>adult</v>
      </c>
      <c r="Q1196" t="s">
        <v>1558</v>
      </c>
      <c r="R1196" t="s">
        <v>1566</v>
      </c>
      <c r="S1196" t="s">
        <v>1568</v>
      </c>
      <c r="T1196">
        <v>1833023</v>
      </c>
      <c r="U1196">
        <v>5</v>
      </c>
      <c r="V1196" t="s">
        <v>1577</v>
      </c>
      <c r="W1196" t="s">
        <v>1594</v>
      </c>
      <c r="X1196">
        <v>8.9499999999999993</v>
      </c>
    </row>
    <row r="1197" spans="1:24" x14ac:dyDescent="0.25">
      <c r="A1197" t="s">
        <v>1217</v>
      </c>
      <c r="B1197" s="4">
        <v>45779</v>
      </c>
      <c r="C1197" s="4" t="str">
        <f t="shared" si="36"/>
        <v>May</v>
      </c>
      <c r="D1197" t="s">
        <v>1522</v>
      </c>
      <c r="E1197" t="s">
        <v>1526</v>
      </c>
      <c r="F1197" t="s">
        <v>1537</v>
      </c>
      <c r="G1197" t="s">
        <v>1547</v>
      </c>
      <c r="H1197" t="s">
        <v>1550</v>
      </c>
      <c r="I1197">
        <v>2025</v>
      </c>
      <c r="J1197" t="s">
        <v>1554</v>
      </c>
      <c r="K1197" t="s">
        <v>1556</v>
      </c>
      <c r="L1197">
        <v>1429974</v>
      </c>
      <c r="M1197">
        <v>1244451</v>
      </c>
      <c r="N1197">
        <v>185523</v>
      </c>
      <c r="O1197">
        <v>33</v>
      </c>
      <c r="P1197" t="str">
        <f t="shared" si="37"/>
        <v>adult</v>
      </c>
      <c r="Q1197" t="s">
        <v>1558</v>
      </c>
      <c r="R1197" t="s">
        <v>1566</v>
      </c>
      <c r="S1197" t="s">
        <v>1567</v>
      </c>
      <c r="T1197">
        <v>723780</v>
      </c>
      <c r="U1197">
        <v>1</v>
      </c>
      <c r="V1197" t="s">
        <v>1572</v>
      </c>
      <c r="W1197" t="s">
        <v>1592</v>
      </c>
      <c r="X1197">
        <v>12.97</v>
      </c>
    </row>
    <row r="1198" spans="1:24" x14ac:dyDescent="0.25">
      <c r="A1198" t="s">
        <v>1218</v>
      </c>
      <c r="B1198" s="4">
        <v>46009</v>
      </c>
      <c r="C1198" s="4" t="str">
        <f t="shared" si="36"/>
        <v>Dec</v>
      </c>
      <c r="D1198" t="s">
        <v>1522</v>
      </c>
      <c r="E1198" t="s">
        <v>1527</v>
      </c>
      <c r="F1198" t="s">
        <v>1531</v>
      </c>
      <c r="G1198" t="s">
        <v>1542</v>
      </c>
      <c r="H1198" t="s">
        <v>1551</v>
      </c>
      <c r="I1198">
        <v>2025</v>
      </c>
      <c r="J1198" t="s">
        <v>1554</v>
      </c>
      <c r="K1198" t="s">
        <v>1556</v>
      </c>
      <c r="L1198">
        <v>841895</v>
      </c>
      <c r="M1198">
        <v>726446</v>
      </c>
      <c r="N1198">
        <v>115449</v>
      </c>
      <c r="O1198">
        <v>29</v>
      </c>
      <c r="P1198" t="str">
        <f t="shared" si="37"/>
        <v>young</v>
      </c>
      <c r="Q1198" t="s">
        <v>1558</v>
      </c>
      <c r="R1198" t="s">
        <v>1562</v>
      </c>
      <c r="S1198" t="s">
        <v>1568</v>
      </c>
      <c r="T1198">
        <v>2009571</v>
      </c>
      <c r="U1198">
        <v>1</v>
      </c>
      <c r="V1198" t="s">
        <v>1575</v>
      </c>
      <c r="W1198" t="s">
        <v>1593</v>
      </c>
      <c r="X1198">
        <v>13.71</v>
      </c>
    </row>
    <row r="1199" spans="1:24" x14ac:dyDescent="0.25">
      <c r="A1199" t="s">
        <v>1219</v>
      </c>
      <c r="B1199" s="4">
        <v>46192</v>
      </c>
      <c r="C1199" s="4" t="str">
        <f t="shared" si="36"/>
        <v>Jun</v>
      </c>
      <c r="D1199" t="s">
        <v>1522</v>
      </c>
      <c r="E1199" t="s">
        <v>1524</v>
      </c>
      <c r="F1199" t="s">
        <v>1529</v>
      </c>
      <c r="G1199" t="s">
        <v>1539</v>
      </c>
      <c r="H1199" t="s">
        <v>4</v>
      </c>
      <c r="I1199">
        <v>2025</v>
      </c>
      <c r="J1199" t="s">
        <v>1554</v>
      </c>
      <c r="K1199" t="s">
        <v>1556</v>
      </c>
      <c r="L1199">
        <v>1484943</v>
      </c>
      <c r="M1199">
        <v>1229877</v>
      </c>
      <c r="N1199">
        <v>255066</v>
      </c>
      <c r="O1199">
        <v>51</v>
      </c>
      <c r="P1199" t="str">
        <f t="shared" si="37"/>
        <v>senior</v>
      </c>
      <c r="Q1199" t="s">
        <v>1558</v>
      </c>
      <c r="R1199" t="s">
        <v>1566</v>
      </c>
      <c r="S1199" t="s">
        <v>1567</v>
      </c>
      <c r="T1199">
        <v>1357126</v>
      </c>
      <c r="U1199">
        <v>2</v>
      </c>
      <c r="V1199" t="s">
        <v>1582</v>
      </c>
      <c r="W1199" t="s">
        <v>1592</v>
      </c>
      <c r="X1199">
        <v>17.18</v>
      </c>
    </row>
    <row r="1200" spans="1:24" x14ac:dyDescent="0.25">
      <c r="A1200" t="s">
        <v>1220</v>
      </c>
      <c r="B1200" s="4">
        <v>46111</v>
      </c>
      <c r="C1200" s="4" t="str">
        <f t="shared" si="36"/>
        <v>Mar</v>
      </c>
      <c r="D1200" t="s">
        <v>1522</v>
      </c>
      <c r="E1200" t="s">
        <v>1523</v>
      </c>
      <c r="F1200" t="s">
        <v>1537</v>
      </c>
      <c r="G1200" t="s">
        <v>1545</v>
      </c>
      <c r="H1200" t="s">
        <v>4</v>
      </c>
      <c r="I1200">
        <v>2024</v>
      </c>
      <c r="J1200" t="s">
        <v>1554</v>
      </c>
      <c r="K1200" t="s">
        <v>1556</v>
      </c>
      <c r="L1200">
        <v>1408989</v>
      </c>
      <c r="M1200">
        <v>1131751</v>
      </c>
      <c r="N1200">
        <v>277238</v>
      </c>
      <c r="O1200">
        <v>51</v>
      </c>
      <c r="P1200" t="str">
        <f t="shared" si="37"/>
        <v>senior</v>
      </c>
      <c r="Q1200" t="s">
        <v>1558</v>
      </c>
      <c r="R1200" t="s">
        <v>1563</v>
      </c>
      <c r="S1200" t="s">
        <v>1568</v>
      </c>
      <c r="T1200">
        <v>1833970</v>
      </c>
      <c r="U1200">
        <v>1</v>
      </c>
      <c r="V1200" t="s">
        <v>1586</v>
      </c>
      <c r="W1200" t="s">
        <v>1591</v>
      </c>
      <c r="X1200">
        <v>19.68</v>
      </c>
    </row>
    <row r="1201" spans="1:24" x14ac:dyDescent="0.25">
      <c r="A1201" t="s">
        <v>1221</v>
      </c>
      <c r="B1201" s="4">
        <v>46233</v>
      </c>
      <c r="C1201" s="4" t="str">
        <f t="shared" si="36"/>
        <v>Jul</v>
      </c>
      <c r="D1201" t="s">
        <v>1522</v>
      </c>
      <c r="E1201" t="s">
        <v>1524</v>
      </c>
      <c r="F1201" t="s">
        <v>1534</v>
      </c>
      <c r="G1201" t="s">
        <v>1548</v>
      </c>
      <c r="H1201" t="s">
        <v>4</v>
      </c>
      <c r="I1201">
        <v>2022</v>
      </c>
      <c r="J1201" t="s">
        <v>1553</v>
      </c>
      <c r="K1201" t="s">
        <v>1557</v>
      </c>
      <c r="L1201">
        <v>1415986</v>
      </c>
      <c r="M1201">
        <v>1294166</v>
      </c>
      <c r="N1201">
        <v>121820</v>
      </c>
      <c r="O1201">
        <v>65</v>
      </c>
      <c r="P1201" t="str">
        <f t="shared" si="37"/>
        <v>senior</v>
      </c>
      <c r="Q1201" t="s">
        <v>1558</v>
      </c>
      <c r="R1201" t="s">
        <v>1563</v>
      </c>
      <c r="S1201" t="s">
        <v>1567</v>
      </c>
      <c r="T1201">
        <v>2055312</v>
      </c>
      <c r="U1201">
        <v>2</v>
      </c>
      <c r="V1201" t="s">
        <v>1587</v>
      </c>
      <c r="W1201" t="s">
        <v>1594</v>
      </c>
      <c r="X1201">
        <v>8.6</v>
      </c>
    </row>
    <row r="1202" spans="1:24" x14ac:dyDescent="0.25">
      <c r="A1202" t="s">
        <v>1222</v>
      </c>
      <c r="B1202" s="4">
        <v>46189</v>
      </c>
      <c r="C1202" s="4" t="str">
        <f t="shared" si="36"/>
        <v>Jun</v>
      </c>
      <c r="D1202" t="s">
        <v>1522</v>
      </c>
      <c r="E1202" t="s">
        <v>1524</v>
      </c>
      <c r="F1202" t="s">
        <v>1536</v>
      </c>
      <c r="G1202" t="s">
        <v>1549</v>
      </c>
      <c r="H1202" t="s">
        <v>1551</v>
      </c>
      <c r="I1202">
        <v>2026</v>
      </c>
      <c r="J1202" t="s">
        <v>1554</v>
      </c>
      <c r="K1202" t="s">
        <v>1557</v>
      </c>
      <c r="L1202">
        <v>830888</v>
      </c>
      <c r="M1202">
        <v>708724</v>
      </c>
      <c r="N1202">
        <v>122164</v>
      </c>
      <c r="O1202">
        <v>54</v>
      </c>
      <c r="P1202" t="str">
        <f t="shared" si="37"/>
        <v>senior</v>
      </c>
      <c r="Q1202" t="s">
        <v>1559</v>
      </c>
      <c r="R1202" t="s">
        <v>1562</v>
      </c>
      <c r="S1202" t="s">
        <v>1567</v>
      </c>
      <c r="T1202">
        <v>931489</v>
      </c>
      <c r="U1202">
        <v>1</v>
      </c>
      <c r="V1202" t="s">
        <v>1582</v>
      </c>
      <c r="W1202" t="s">
        <v>1592</v>
      </c>
      <c r="X1202">
        <v>14.7</v>
      </c>
    </row>
    <row r="1203" spans="1:24" x14ac:dyDescent="0.25">
      <c r="A1203" t="s">
        <v>1223</v>
      </c>
      <c r="B1203" s="4">
        <v>45815</v>
      </c>
      <c r="C1203" s="4" t="str">
        <f t="shared" si="36"/>
        <v>Jun</v>
      </c>
      <c r="D1203" t="s">
        <v>1522</v>
      </c>
      <c r="E1203" t="s">
        <v>1526</v>
      </c>
      <c r="F1203" t="s">
        <v>1535</v>
      </c>
      <c r="G1203" t="s">
        <v>1540</v>
      </c>
      <c r="H1203" t="s">
        <v>1551</v>
      </c>
      <c r="I1203">
        <v>2023</v>
      </c>
      <c r="J1203" t="s">
        <v>1554</v>
      </c>
      <c r="K1203" t="s">
        <v>1556</v>
      </c>
      <c r="L1203">
        <v>812427</v>
      </c>
      <c r="M1203">
        <v>709039</v>
      </c>
      <c r="N1203">
        <v>103388</v>
      </c>
      <c r="O1203">
        <v>29</v>
      </c>
      <c r="P1203" t="str">
        <f t="shared" si="37"/>
        <v>young</v>
      </c>
      <c r="Q1203" t="s">
        <v>1558</v>
      </c>
      <c r="R1203" t="s">
        <v>1562</v>
      </c>
      <c r="S1203" t="s">
        <v>1568</v>
      </c>
      <c r="T1203">
        <v>1605812</v>
      </c>
      <c r="U1203">
        <v>1</v>
      </c>
      <c r="V1203" t="s">
        <v>1584</v>
      </c>
      <c r="W1203" t="s">
        <v>1592</v>
      </c>
      <c r="X1203">
        <v>12.73</v>
      </c>
    </row>
    <row r="1204" spans="1:24" x14ac:dyDescent="0.25">
      <c r="A1204" t="s">
        <v>1224</v>
      </c>
      <c r="B1204" s="4">
        <v>45750</v>
      </c>
      <c r="C1204" s="4" t="str">
        <f t="shared" si="36"/>
        <v>Apr</v>
      </c>
      <c r="D1204" t="s">
        <v>1522</v>
      </c>
      <c r="E1204" t="s">
        <v>1526</v>
      </c>
      <c r="F1204" t="s">
        <v>1528</v>
      </c>
      <c r="G1204" t="s">
        <v>1542</v>
      </c>
      <c r="H1204" t="s">
        <v>1552</v>
      </c>
      <c r="I1204">
        <v>2022</v>
      </c>
      <c r="J1204" t="s">
        <v>1555</v>
      </c>
      <c r="K1204" t="s">
        <v>1556</v>
      </c>
      <c r="L1204">
        <v>2035617</v>
      </c>
      <c r="M1204">
        <v>1779041</v>
      </c>
      <c r="N1204">
        <v>256576</v>
      </c>
      <c r="O1204">
        <v>63</v>
      </c>
      <c r="P1204" t="str">
        <f t="shared" si="37"/>
        <v>senior</v>
      </c>
      <c r="Q1204" t="s">
        <v>1558</v>
      </c>
      <c r="R1204" t="s">
        <v>1563</v>
      </c>
      <c r="S1204" t="s">
        <v>1568</v>
      </c>
      <c r="T1204">
        <v>1433572</v>
      </c>
      <c r="U1204">
        <v>3</v>
      </c>
      <c r="V1204" t="s">
        <v>1573</v>
      </c>
      <c r="W1204" t="s">
        <v>1592</v>
      </c>
      <c r="X1204">
        <v>12.6</v>
      </c>
    </row>
    <row r="1205" spans="1:24" x14ac:dyDescent="0.25">
      <c r="A1205" t="s">
        <v>1225</v>
      </c>
      <c r="B1205" s="4">
        <v>46252</v>
      </c>
      <c r="C1205" s="4" t="str">
        <f t="shared" si="36"/>
        <v>Aug</v>
      </c>
      <c r="D1205" t="s">
        <v>1522</v>
      </c>
      <c r="E1205" t="s">
        <v>1526</v>
      </c>
      <c r="F1205" t="s">
        <v>1528</v>
      </c>
      <c r="G1205" t="s">
        <v>1541</v>
      </c>
      <c r="H1205" t="s">
        <v>1550</v>
      </c>
      <c r="I1205">
        <v>2025</v>
      </c>
      <c r="J1205" t="s">
        <v>1554</v>
      </c>
      <c r="K1205" t="s">
        <v>1556</v>
      </c>
      <c r="L1205">
        <v>1182378</v>
      </c>
      <c r="M1205">
        <v>1094997</v>
      </c>
      <c r="N1205">
        <v>87381</v>
      </c>
      <c r="O1205">
        <v>34</v>
      </c>
      <c r="P1205" t="str">
        <f t="shared" si="37"/>
        <v>adult</v>
      </c>
      <c r="Q1205" t="s">
        <v>1559</v>
      </c>
      <c r="R1205" t="s">
        <v>1563</v>
      </c>
      <c r="S1205" t="s">
        <v>1569</v>
      </c>
      <c r="T1205">
        <v>1329744</v>
      </c>
      <c r="U1205">
        <v>3</v>
      </c>
      <c r="V1205" t="s">
        <v>1576</v>
      </c>
      <c r="W1205" t="s">
        <v>1594</v>
      </c>
      <c r="X1205">
        <v>7.39</v>
      </c>
    </row>
    <row r="1206" spans="1:24" x14ac:dyDescent="0.25">
      <c r="A1206" t="s">
        <v>1226</v>
      </c>
      <c r="B1206" s="4">
        <v>46107</v>
      </c>
      <c r="C1206" s="4" t="str">
        <f t="shared" si="36"/>
        <v>Mar</v>
      </c>
      <c r="D1206" t="s">
        <v>1522</v>
      </c>
      <c r="E1206" t="s">
        <v>1523</v>
      </c>
      <c r="F1206" t="s">
        <v>1528</v>
      </c>
      <c r="G1206" t="s">
        <v>1544</v>
      </c>
      <c r="H1206" t="s">
        <v>4</v>
      </c>
      <c r="I1206">
        <v>2023</v>
      </c>
      <c r="J1206" t="s">
        <v>1554</v>
      </c>
      <c r="K1206" t="s">
        <v>1556</v>
      </c>
      <c r="L1206">
        <v>1418871</v>
      </c>
      <c r="M1206">
        <v>1192415</v>
      </c>
      <c r="N1206">
        <v>226456</v>
      </c>
      <c r="O1206">
        <v>35</v>
      </c>
      <c r="P1206" t="str">
        <f t="shared" si="37"/>
        <v>adult</v>
      </c>
      <c r="Q1206" t="s">
        <v>1559</v>
      </c>
      <c r="R1206" t="s">
        <v>1566</v>
      </c>
      <c r="S1206" t="s">
        <v>1568</v>
      </c>
      <c r="T1206">
        <v>89063</v>
      </c>
      <c r="U1206">
        <v>2</v>
      </c>
      <c r="V1206" t="s">
        <v>1586</v>
      </c>
      <c r="W1206" t="s">
        <v>1591</v>
      </c>
      <c r="X1206">
        <v>15.96</v>
      </c>
    </row>
    <row r="1207" spans="1:24" x14ac:dyDescent="0.25">
      <c r="A1207" t="s">
        <v>1227</v>
      </c>
      <c r="B1207" s="4">
        <v>45940</v>
      </c>
      <c r="C1207" s="4" t="str">
        <f t="shared" si="36"/>
        <v>Oct</v>
      </c>
      <c r="D1207" t="s">
        <v>1522</v>
      </c>
      <c r="E1207" t="s">
        <v>1524</v>
      </c>
      <c r="F1207" t="s">
        <v>1532</v>
      </c>
      <c r="G1207" t="s">
        <v>1548</v>
      </c>
      <c r="H1207" t="s">
        <v>1550</v>
      </c>
      <c r="I1207">
        <v>2024</v>
      </c>
      <c r="J1207" t="s">
        <v>1554</v>
      </c>
      <c r="K1207" t="s">
        <v>1556</v>
      </c>
      <c r="L1207">
        <v>1308985</v>
      </c>
      <c r="M1207">
        <v>1107838</v>
      </c>
      <c r="N1207">
        <v>201147</v>
      </c>
      <c r="O1207">
        <v>39</v>
      </c>
      <c r="P1207" t="str">
        <f t="shared" si="37"/>
        <v>adult</v>
      </c>
      <c r="Q1207" t="s">
        <v>1558</v>
      </c>
      <c r="R1207" t="s">
        <v>1564</v>
      </c>
      <c r="S1207" t="s">
        <v>1567</v>
      </c>
      <c r="T1207">
        <v>757794</v>
      </c>
      <c r="U1207">
        <v>4</v>
      </c>
      <c r="V1207" t="s">
        <v>1574</v>
      </c>
      <c r="W1207" t="s">
        <v>1593</v>
      </c>
      <c r="X1207">
        <v>15.37</v>
      </c>
    </row>
    <row r="1208" spans="1:24" x14ac:dyDescent="0.25">
      <c r="A1208" t="s">
        <v>1228</v>
      </c>
      <c r="B1208" s="4">
        <v>45876</v>
      </c>
      <c r="C1208" s="4" t="str">
        <f t="shared" si="36"/>
        <v>Aug</v>
      </c>
      <c r="D1208" t="s">
        <v>1522</v>
      </c>
      <c r="E1208" t="s">
        <v>1523</v>
      </c>
      <c r="F1208" t="s">
        <v>1529</v>
      </c>
      <c r="G1208" t="s">
        <v>1549</v>
      </c>
      <c r="H1208" t="s">
        <v>4</v>
      </c>
      <c r="I1208">
        <v>2026</v>
      </c>
      <c r="J1208" t="s">
        <v>1554</v>
      </c>
      <c r="K1208" t="s">
        <v>1557</v>
      </c>
      <c r="L1208">
        <v>1519490</v>
      </c>
      <c r="M1208">
        <v>1413736</v>
      </c>
      <c r="N1208">
        <v>105754</v>
      </c>
      <c r="O1208">
        <v>21</v>
      </c>
      <c r="P1208" t="str">
        <f t="shared" si="37"/>
        <v>young</v>
      </c>
      <c r="Q1208" t="s">
        <v>1558</v>
      </c>
      <c r="R1208" t="s">
        <v>1562</v>
      </c>
      <c r="S1208" t="s">
        <v>1568</v>
      </c>
      <c r="T1208">
        <v>652963</v>
      </c>
      <c r="U1208">
        <v>2</v>
      </c>
      <c r="V1208" t="s">
        <v>1585</v>
      </c>
      <c r="W1208" t="s">
        <v>1594</v>
      </c>
      <c r="X1208">
        <v>6.96</v>
      </c>
    </row>
    <row r="1209" spans="1:24" x14ac:dyDescent="0.25">
      <c r="A1209" t="s">
        <v>1229</v>
      </c>
      <c r="B1209" s="4">
        <v>45765</v>
      </c>
      <c r="C1209" s="4" t="str">
        <f t="shared" si="36"/>
        <v>Apr</v>
      </c>
      <c r="D1209" t="s">
        <v>1522</v>
      </c>
      <c r="E1209" t="s">
        <v>1525</v>
      </c>
      <c r="F1209" t="s">
        <v>1531</v>
      </c>
      <c r="G1209" t="s">
        <v>1549</v>
      </c>
      <c r="H1209" t="s">
        <v>1550</v>
      </c>
      <c r="I1209">
        <v>2024</v>
      </c>
      <c r="J1209" t="s">
        <v>1554</v>
      </c>
      <c r="K1209" t="s">
        <v>1556</v>
      </c>
      <c r="L1209">
        <v>1380434</v>
      </c>
      <c r="M1209">
        <v>1241419</v>
      </c>
      <c r="N1209">
        <v>139015</v>
      </c>
      <c r="O1209">
        <v>22</v>
      </c>
      <c r="P1209" t="str">
        <f t="shared" si="37"/>
        <v>young</v>
      </c>
      <c r="Q1209" t="s">
        <v>1558</v>
      </c>
      <c r="R1209" t="s">
        <v>1566</v>
      </c>
      <c r="S1209" t="s">
        <v>1570</v>
      </c>
      <c r="T1209">
        <v>572473</v>
      </c>
      <c r="U1209">
        <v>2</v>
      </c>
      <c r="V1209" t="s">
        <v>1573</v>
      </c>
      <c r="W1209" t="s">
        <v>1592</v>
      </c>
      <c r="X1209">
        <v>10.07</v>
      </c>
    </row>
    <row r="1210" spans="1:24" x14ac:dyDescent="0.25">
      <c r="A1210" t="s">
        <v>1230</v>
      </c>
      <c r="B1210" s="4">
        <v>46070</v>
      </c>
      <c r="C1210" s="4" t="str">
        <f t="shared" si="36"/>
        <v>Feb</v>
      </c>
      <c r="D1210" t="s">
        <v>1522</v>
      </c>
      <c r="E1210" t="s">
        <v>1524</v>
      </c>
      <c r="F1210" t="s">
        <v>1536</v>
      </c>
      <c r="G1210" t="s">
        <v>1547</v>
      </c>
      <c r="H1210" t="s">
        <v>4</v>
      </c>
      <c r="I1210">
        <v>2024</v>
      </c>
      <c r="J1210" t="s">
        <v>1554</v>
      </c>
      <c r="K1210" t="s">
        <v>1556</v>
      </c>
      <c r="L1210">
        <v>1475711</v>
      </c>
      <c r="M1210">
        <v>1262111</v>
      </c>
      <c r="N1210">
        <v>213600</v>
      </c>
      <c r="O1210">
        <v>62</v>
      </c>
      <c r="P1210" t="str">
        <f t="shared" si="37"/>
        <v>senior</v>
      </c>
      <c r="Q1210" t="s">
        <v>1558</v>
      </c>
      <c r="R1210" t="s">
        <v>1562</v>
      </c>
      <c r="S1210" t="s">
        <v>1569</v>
      </c>
      <c r="T1210">
        <v>1071912</v>
      </c>
      <c r="U1210">
        <v>1</v>
      </c>
      <c r="V1210" t="s">
        <v>1589</v>
      </c>
      <c r="W1210" t="s">
        <v>1591</v>
      </c>
      <c r="X1210">
        <v>14.47</v>
      </c>
    </row>
    <row r="1211" spans="1:24" x14ac:dyDescent="0.25">
      <c r="A1211" t="s">
        <v>1231</v>
      </c>
      <c r="B1211" s="4">
        <v>45833</v>
      </c>
      <c r="C1211" s="4" t="str">
        <f t="shared" si="36"/>
        <v>Jun</v>
      </c>
      <c r="D1211" t="s">
        <v>1522</v>
      </c>
      <c r="E1211" t="s">
        <v>1526</v>
      </c>
      <c r="F1211" t="s">
        <v>1532</v>
      </c>
      <c r="G1211" t="s">
        <v>1547</v>
      </c>
      <c r="H1211" t="s">
        <v>1550</v>
      </c>
      <c r="I1211">
        <v>2025</v>
      </c>
      <c r="J1211" t="s">
        <v>1554</v>
      </c>
      <c r="K1211" t="s">
        <v>1557</v>
      </c>
      <c r="L1211">
        <v>1263278</v>
      </c>
      <c r="M1211">
        <v>1077018</v>
      </c>
      <c r="N1211">
        <v>186260</v>
      </c>
      <c r="O1211">
        <v>61</v>
      </c>
      <c r="P1211" t="str">
        <f t="shared" si="37"/>
        <v>senior</v>
      </c>
      <c r="Q1211" t="s">
        <v>1559</v>
      </c>
      <c r="R1211" t="s">
        <v>1566</v>
      </c>
      <c r="S1211" t="s">
        <v>1567</v>
      </c>
      <c r="T1211">
        <v>2004016</v>
      </c>
      <c r="U1211">
        <v>4</v>
      </c>
      <c r="V1211" t="s">
        <v>1584</v>
      </c>
      <c r="W1211" t="s">
        <v>1592</v>
      </c>
      <c r="X1211">
        <v>14.74</v>
      </c>
    </row>
    <row r="1212" spans="1:24" x14ac:dyDescent="0.25">
      <c r="A1212" t="s">
        <v>1232</v>
      </c>
      <c r="B1212" s="4">
        <v>46086</v>
      </c>
      <c r="C1212" s="4" t="str">
        <f t="shared" si="36"/>
        <v>Mar</v>
      </c>
      <c r="D1212" t="s">
        <v>1522</v>
      </c>
      <c r="E1212" t="s">
        <v>1524</v>
      </c>
      <c r="F1212" t="s">
        <v>1529</v>
      </c>
      <c r="G1212" t="s">
        <v>1540</v>
      </c>
      <c r="H1212" t="s">
        <v>1552</v>
      </c>
      <c r="I1212">
        <v>2023</v>
      </c>
      <c r="J1212" t="s">
        <v>1555</v>
      </c>
      <c r="K1212" t="s">
        <v>1556</v>
      </c>
      <c r="L1212">
        <v>1875162</v>
      </c>
      <c r="M1212">
        <v>1689089</v>
      </c>
      <c r="N1212">
        <v>186073</v>
      </c>
      <c r="O1212">
        <v>58</v>
      </c>
      <c r="P1212" t="str">
        <f t="shared" si="37"/>
        <v>senior</v>
      </c>
      <c r="Q1212" t="s">
        <v>1558</v>
      </c>
      <c r="R1212" t="s">
        <v>1565</v>
      </c>
      <c r="S1212" t="s">
        <v>1567</v>
      </c>
      <c r="T1212">
        <v>1609633</v>
      </c>
      <c r="U1212">
        <v>2</v>
      </c>
      <c r="V1212" t="s">
        <v>1586</v>
      </c>
      <c r="W1212" t="s">
        <v>1591</v>
      </c>
      <c r="X1212">
        <v>9.92</v>
      </c>
    </row>
    <row r="1213" spans="1:24" x14ac:dyDescent="0.25">
      <c r="A1213" t="s">
        <v>1233</v>
      </c>
      <c r="B1213" s="4">
        <v>46206</v>
      </c>
      <c r="C1213" s="4" t="str">
        <f t="shared" si="36"/>
        <v>Jul</v>
      </c>
      <c r="D1213" t="s">
        <v>1522</v>
      </c>
      <c r="E1213" t="s">
        <v>1527</v>
      </c>
      <c r="F1213" t="s">
        <v>1534</v>
      </c>
      <c r="G1213" t="s">
        <v>1545</v>
      </c>
      <c r="H1213" t="s">
        <v>1552</v>
      </c>
      <c r="I1213">
        <v>2024</v>
      </c>
      <c r="J1213" t="s">
        <v>1555</v>
      </c>
      <c r="K1213" t="s">
        <v>1556</v>
      </c>
      <c r="L1213">
        <v>1985576</v>
      </c>
      <c r="M1213">
        <v>1675403</v>
      </c>
      <c r="N1213">
        <v>310173</v>
      </c>
      <c r="O1213">
        <v>36</v>
      </c>
      <c r="P1213" t="str">
        <f t="shared" si="37"/>
        <v>adult</v>
      </c>
      <c r="Q1213" t="s">
        <v>1558</v>
      </c>
      <c r="R1213" t="s">
        <v>1561</v>
      </c>
      <c r="S1213" t="s">
        <v>1569</v>
      </c>
      <c r="T1213">
        <v>542940</v>
      </c>
      <c r="U1213">
        <v>5</v>
      </c>
      <c r="V1213" t="s">
        <v>1587</v>
      </c>
      <c r="W1213" t="s">
        <v>1594</v>
      </c>
      <c r="X1213">
        <v>15.62</v>
      </c>
    </row>
    <row r="1214" spans="1:24" x14ac:dyDescent="0.25">
      <c r="A1214" t="s">
        <v>1234</v>
      </c>
      <c r="B1214" s="4">
        <v>46237</v>
      </c>
      <c r="C1214" s="4" t="str">
        <f t="shared" si="36"/>
        <v>Aug</v>
      </c>
      <c r="D1214" t="s">
        <v>1522</v>
      </c>
      <c r="E1214" t="s">
        <v>1524</v>
      </c>
      <c r="F1214" t="s">
        <v>1531</v>
      </c>
      <c r="G1214" t="s">
        <v>1538</v>
      </c>
      <c r="H1214" t="s">
        <v>1551</v>
      </c>
      <c r="I1214">
        <v>2026</v>
      </c>
      <c r="J1214" t="s">
        <v>1554</v>
      </c>
      <c r="K1214" t="s">
        <v>1557</v>
      </c>
      <c r="L1214">
        <v>847342</v>
      </c>
      <c r="M1214">
        <v>744537</v>
      </c>
      <c r="N1214">
        <v>102805</v>
      </c>
      <c r="O1214">
        <v>43</v>
      </c>
      <c r="P1214" t="str">
        <f t="shared" si="37"/>
        <v>adult</v>
      </c>
      <c r="Q1214" t="s">
        <v>1558</v>
      </c>
      <c r="R1214" t="s">
        <v>1562</v>
      </c>
      <c r="S1214" t="s">
        <v>1568</v>
      </c>
      <c r="T1214">
        <v>1406426</v>
      </c>
      <c r="U1214">
        <v>1</v>
      </c>
      <c r="V1214" t="s">
        <v>1576</v>
      </c>
      <c r="W1214" t="s">
        <v>1594</v>
      </c>
      <c r="X1214">
        <v>12.13</v>
      </c>
    </row>
    <row r="1215" spans="1:24" x14ac:dyDescent="0.25">
      <c r="A1215" t="s">
        <v>1235</v>
      </c>
      <c r="B1215" s="4">
        <v>45870</v>
      </c>
      <c r="C1215" s="4" t="str">
        <f t="shared" si="36"/>
        <v>Aug</v>
      </c>
      <c r="D1215" t="s">
        <v>1522</v>
      </c>
      <c r="E1215" t="s">
        <v>1526</v>
      </c>
      <c r="F1215" t="s">
        <v>1531</v>
      </c>
      <c r="G1215" t="s">
        <v>1540</v>
      </c>
      <c r="H1215" t="s">
        <v>4</v>
      </c>
      <c r="I1215">
        <v>2023</v>
      </c>
      <c r="J1215" t="s">
        <v>1554</v>
      </c>
      <c r="K1215" t="s">
        <v>1557</v>
      </c>
      <c r="L1215">
        <v>1592807</v>
      </c>
      <c r="M1215">
        <v>1300470</v>
      </c>
      <c r="N1215">
        <v>292337</v>
      </c>
      <c r="O1215">
        <v>48</v>
      </c>
      <c r="P1215" t="str">
        <f t="shared" si="37"/>
        <v>adult</v>
      </c>
      <c r="Q1215" t="s">
        <v>1558</v>
      </c>
      <c r="R1215" t="s">
        <v>1562</v>
      </c>
      <c r="S1215" t="s">
        <v>1568</v>
      </c>
      <c r="T1215">
        <v>962022</v>
      </c>
      <c r="U1215">
        <v>5</v>
      </c>
      <c r="V1215" t="s">
        <v>1585</v>
      </c>
      <c r="W1215" t="s">
        <v>1594</v>
      </c>
      <c r="X1215">
        <v>18.350000000000001</v>
      </c>
    </row>
    <row r="1216" spans="1:24" x14ac:dyDescent="0.25">
      <c r="A1216" t="s">
        <v>1236</v>
      </c>
      <c r="B1216" s="4">
        <v>45804</v>
      </c>
      <c r="C1216" s="4" t="str">
        <f t="shared" si="36"/>
        <v>May</v>
      </c>
      <c r="D1216" t="s">
        <v>1522</v>
      </c>
      <c r="E1216" t="s">
        <v>1526</v>
      </c>
      <c r="F1216" t="s">
        <v>1529</v>
      </c>
      <c r="G1216" t="s">
        <v>1543</v>
      </c>
      <c r="H1216" t="s">
        <v>4</v>
      </c>
      <c r="I1216">
        <v>2025</v>
      </c>
      <c r="J1216" t="s">
        <v>1554</v>
      </c>
      <c r="K1216" t="s">
        <v>1556</v>
      </c>
      <c r="L1216">
        <v>1327267</v>
      </c>
      <c r="M1216">
        <v>1125087</v>
      </c>
      <c r="N1216">
        <v>202180</v>
      </c>
      <c r="O1216">
        <v>59</v>
      </c>
      <c r="P1216" t="str">
        <f t="shared" si="37"/>
        <v>senior</v>
      </c>
      <c r="Q1216" t="s">
        <v>1558</v>
      </c>
      <c r="R1216" t="s">
        <v>1565</v>
      </c>
      <c r="S1216" t="s">
        <v>1568</v>
      </c>
      <c r="T1216">
        <v>369597</v>
      </c>
      <c r="U1216">
        <v>1</v>
      </c>
      <c r="V1216" t="s">
        <v>1572</v>
      </c>
      <c r="W1216" t="s">
        <v>1592</v>
      </c>
      <c r="X1216">
        <v>15.23</v>
      </c>
    </row>
    <row r="1217" spans="1:24" x14ac:dyDescent="0.25">
      <c r="A1217" t="s">
        <v>1237</v>
      </c>
      <c r="B1217" s="4">
        <v>45838</v>
      </c>
      <c r="C1217" s="4" t="str">
        <f t="shared" si="36"/>
        <v>Jun</v>
      </c>
      <c r="D1217" t="s">
        <v>1522</v>
      </c>
      <c r="E1217" t="s">
        <v>1527</v>
      </c>
      <c r="F1217" t="s">
        <v>1533</v>
      </c>
      <c r="G1217" t="s">
        <v>1546</v>
      </c>
      <c r="H1217" t="s">
        <v>4</v>
      </c>
      <c r="I1217">
        <v>2026</v>
      </c>
      <c r="J1217" t="s">
        <v>1554</v>
      </c>
      <c r="K1217" t="s">
        <v>1557</v>
      </c>
      <c r="L1217">
        <v>1454222</v>
      </c>
      <c r="M1217">
        <v>1285388</v>
      </c>
      <c r="N1217">
        <v>168834</v>
      </c>
      <c r="O1217">
        <v>37</v>
      </c>
      <c r="P1217" t="str">
        <f t="shared" si="37"/>
        <v>adult</v>
      </c>
      <c r="Q1217" t="s">
        <v>1559</v>
      </c>
      <c r="R1217" t="s">
        <v>1563</v>
      </c>
      <c r="S1217" t="s">
        <v>1570</v>
      </c>
      <c r="T1217">
        <v>174029</v>
      </c>
      <c r="U1217">
        <v>1</v>
      </c>
      <c r="V1217" t="s">
        <v>1584</v>
      </c>
      <c r="W1217" t="s">
        <v>1592</v>
      </c>
      <c r="X1217">
        <v>11.61</v>
      </c>
    </row>
    <row r="1218" spans="1:24" x14ac:dyDescent="0.25">
      <c r="A1218" t="s">
        <v>1238</v>
      </c>
      <c r="B1218" s="4">
        <v>46158</v>
      </c>
      <c r="C1218" s="4" t="str">
        <f t="shared" si="36"/>
        <v>May</v>
      </c>
      <c r="D1218" t="s">
        <v>1522</v>
      </c>
      <c r="E1218" t="s">
        <v>1527</v>
      </c>
      <c r="F1218" t="s">
        <v>1535</v>
      </c>
      <c r="G1218" t="s">
        <v>1548</v>
      </c>
      <c r="H1218" t="s">
        <v>4</v>
      </c>
      <c r="I1218">
        <v>2026</v>
      </c>
      <c r="J1218" t="s">
        <v>1554</v>
      </c>
      <c r="K1218" t="s">
        <v>1556</v>
      </c>
      <c r="L1218">
        <v>1367146</v>
      </c>
      <c r="M1218">
        <v>1121808</v>
      </c>
      <c r="N1218">
        <v>245338</v>
      </c>
      <c r="O1218">
        <v>24</v>
      </c>
      <c r="P1218" t="str">
        <f t="shared" si="37"/>
        <v>young</v>
      </c>
      <c r="Q1218" t="s">
        <v>1558</v>
      </c>
      <c r="R1218" t="s">
        <v>1566</v>
      </c>
      <c r="S1218" t="s">
        <v>1567</v>
      </c>
      <c r="T1218">
        <v>1419019</v>
      </c>
      <c r="U1218">
        <v>4</v>
      </c>
      <c r="V1218" t="s">
        <v>1590</v>
      </c>
      <c r="W1218" t="s">
        <v>1592</v>
      </c>
      <c r="X1218">
        <v>17.95</v>
      </c>
    </row>
    <row r="1219" spans="1:24" x14ac:dyDescent="0.25">
      <c r="A1219" t="s">
        <v>1239</v>
      </c>
      <c r="B1219" s="4">
        <v>45782</v>
      </c>
      <c r="C1219" s="4" t="str">
        <f t="shared" ref="C1219:C1282" si="38">TEXT(B1219,"MMM")</f>
        <v>May</v>
      </c>
      <c r="D1219" t="s">
        <v>1522</v>
      </c>
      <c r="E1219" t="s">
        <v>1524</v>
      </c>
      <c r="F1219" t="s">
        <v>1532</v>
      </c>
      <c r="G1219" t="s">
        <v>1538</v>
      </c>
      <c r="H1219" t="s">
        <v>4</v>
      </c>
      <c r="I1219">
        <v>2022</v>
      </c>
      <c r="J1219" t="s">
        <v>1554</v>
      </c>
      <c r="K1219" t="s">
        <v>1556</v>
      </c>
      <c r="L1219">
        <v>1817429</v>
      </c>
      <c r="M1219">
        <v>1606602</v>
      </c>
      <c r="N1219">
        <v>210827</v>
      </c>
      <c r="O1219">
        <v>55</v>
      </c>
      <c r="P1219" t="str">
        <f t="shared" ref="P1219:P1282" si="39">IF(O1219&gt;50,"senior",IF(O1219&gt;30,"adult","young"))</f>
        <v>senior</v>
      </c>
      <c r="Q1219" t="s">
        <v>1559</v>
      </c>
      <c r="R1219" t="s">
        <v>1561</v>
      </c>
      <c r="S1219" t="s">
        <v>1567</v>
      </c>
      <c r="T1219">
        <v>497868</v>
      </c>
      <c r="U1219">
        <v>4</v>
      </c>
      <c r="V1219" t="s">
        <v>1572</v>
      </c>
      <c r="W1219" t="s">
        <v>1592</v>
      </c>
      <c r="X1219">
        <v>11.6</v>
      </c>
    </row>
    <row r="1220" spans="1:24" x14ac:dyDescent="0.25">
      <c r="A1220" t="s">
        <v>1240</v>
      </c>
      <c r="B1220" s="4">
        <v>46216</v>
      </c>
      <c r="C1220" s="4" t="str">
        <f t="shared" si="38"/>
        <v>Jul</v>
      </c>
      <c r="D1220" t="s">
        <v>1522</v>
      </c>
      <c r="E1220" t="s">
        <v>1524</v>
      </c>
      <c r="F1220" t="s">
        <v>1534</v>
      </c>
      <c r="G1220" t="s">
        <v>1545</v>
      </c>
      <c r="H1220" t="s">
        <v>1550</v>
      </c>
      <c r="I1220">
        <v>2022</v>
      </c>
      <c r="J1220" t="s">
        <v>1554</v>
      </c>
      <c r="K1220" t="s">
        <v>1557</v>
      </c>
      <c r="L1220">
        <v>1533748</v>
      </c>
      <c r="M1220">
        <v>1283911</v>
      </c>
      <c r="N1220">
        <v>249837</v>
      </c>
      <c r="O1220">
        <v>53</v>
      </c>
      <c r="P1220" t="str">
        <f t="shared" si="39"/>
        <v>senior</v>
      </c>
      <c r="Q1220" t="s">
        <v>1558</v>
      </c>
      <c r="R1220" t="s">
        <v>1566</v>
      </c>
      <c r="S1220" t="s">
        <v>1570</v>
      </c>
      <c r="T1220">
        <v>1932803</v>
      </c>
      <c r="U1220">
        <v>1</v>
      </c>
      <c r="V1220" t="s">
        <v>1587</v>
      </c>
      <c r="W1220" t="s">
        <v>1594</v>
      </c>
      <c r="X1220">
        <v>16.29</v>
      </c>
    </row>
    <row r="1221" spans="1:24" x14ac:dyDescent="0.25">
      <c r="A1221" t="s">
        <v>1241</v>
      </c>
      <c r="B1221" s="4">
        <v>45973</v>
      </c>
      <c r="C1221" s="4" t="str">
        <f t="shared" si="38"/>
        <v>Nov</v>
      </c>
      <c r="D1221" t="s">
        <v>1522</v>
      </c>
      <c r="E1221" t="s">
        <v>1524</v>
      </c>
      <c r="F1221" t="s">
        <v>1533</v>
      </c>
      <c r="G1221" t="s">
        <v>1546</v>
      </c>
      <c r="H1221" t="s">
        <v>4</v>
      </c>
      <c r="I1221">
        <v>2023</v>
      </c>
      <c r="J1221" t="s">
        <v>1554</v>
      </c>
      <c r="K1221" t="s">
        <v>1556</v>
      </c>
      <c r="L1221">
        <v>1319907</v>
      </c>
      <c r="M1221">
        <v>1115956</v>
      </c>
      <c r="N1221">
        <v>203951</v>
      </c>
      <c r="O1221">
        <v>53</v>
      </c>
      <c r="P1221" t="str">
        <f t="shared" si="39"/>
        <v>senior</v>
      </c>
      <c r="Q1221" t="s">
        <v>1560</v>
      </c>
      <c r="R1221" t="s">
        <v>1562</v>
      </c>
      <c r="S1221" t="s">
        <v>1568</v>
      </c>
      <c r="T1221">
        <v>894113</v>
      </c>
      <c r="U1221">
        <v>5</v>
      </c>
      <c r="V1221" t="s">
        <v>1583</v>
      </c>
      <c r="W1221" t="s">
        <v>1593</v>
      </c>
      <c r="X1221">
        <v>15.45</v>
      </c>
    </row>
    <row r="1222" spans="1:24" x14ac:dyDescent="0.25">
      <c r="A1222" t="s">
        <v>1242</v>
      </c>
      <c r="B1222" s="4">
        <v>45884</v>
      </c>
      <c r="C1222" s="4" t="str">
        <f t="shared" si="38"/>
        <v>Aug</v>
      </c>
      <c r="D1222" t="s">
        <v>1522</v>
      </c>
      <c r="E1222" t="s">
        <v>1527</v>
      </c>
      <c r="F1222" t="s">
        <v>1529</v>
      </c>
      <c r="G1222" t="s">
        <v>1538</v>
      </c>
      <c r="H1222" t="s">
        <v>4</v>
      </c>
      <c r="I1222">
        <v>2025</v>
      </c>
      <c r="J1222" t="s">
        <v>1554</v>
      </c>
      <c r="K1222" t="s">
        <v>1556</v>
      </c>
      <c r="L1222">
        <v>1542938</v>
      </c>
      <c r="M1222">
        <v>1323944</v>
      </c>
      <c r="N1222">
        <v>218994</v>
      </c>
      <c r="O1222">
        <v>58</v>
      </c>
      <c r="P1222" t="str">
        <f t="shared" si="39"/>
        <v>senior</v>
      </c>
      <c r="Q1222" t="s">
        <v>1558</v>
      </c>
      <c r="R1222" t="s">
        <v>1564</v>
      </c>
      <c r="S1222" t="s">
        <v>1567</v>
      </c>
      <c r="T1222">
        <v>892045</v>
      </c>
      <c r="U1222">
        <v>2</v>
      </c>
      <c r="V1222" t="s">
        <v>1585</v>
      </c>
      <c r="W1222" t="s">
        <v>1594</v>
      </c>
      <c r="X1222">
        <v>14.19</v>
      </c>
    </row>
    <row r="1223" spans="1:24" x14ac:dyDescent="0.25">
      <c r="A1223" t="s">
        <v>1243</v>
      </c>
      <c r="B1223" s="4">
        <v>46057</v>
      </c>
      <c r="C1223" s="4" t="str">
        <f t="shared" si="38"/>
        <v>Feb</v>
      </c>
      <c r="D1223" t="s">
        <v>1522</v>
      </c>
      <c r="E1223" t="s">
        <v>1524</v>
      </c>
      <c r="F1223" t="s">
        <v>1529</v>
      </c>
      <c r="G1223" t="s">
        <v>1542</v>
      </c>
      <c r="H1223" t="s">
        <v>1550</v>
      </c>
      <c r="I1223">
        <v>2025</v>
      </c>
      <c r="J1223" t="s">
        <v>1554</v>
      </c>
      <c r="K1223" t="s">
        <v>1557</v>
      </c>
      <c r="L1223">
        <v>1196435</v>
      </c>
      <c r="M1223">
        <v>1103785</v>
      </c>
      <c r="N1223">
        <v>92650</v>
      </c>
      <c r="O1223">
        <v>54</v>
      </c>
      <c r="P1223" t="str">
        <f t="shared" si="39"/>
        <v>senior</v>
      </c>
      <c r="Q1223" t="s">
        <v>1559</v>
      </c>
      <c r="R1223" t="s">
        <v>1566</v>
      </c>
      <c r="S1223" t="s">
        <v>1569</v>
      </c>
      <c r="T1223">
        <v>1271687</v>
      </c>
      <c r="U1223">
        <v>1</v>
      </c>
      <c r="V1223" t="s">
        <v>1589</v>
      </c>
      <c r="W1223" t="s">
        <v>1591</v>
      </c>
      <c r="X1223">
        <v>7.74</v>
      </c>
    </row>
    <row r="1224" spans="1:24" x14ac:dyDescent="0.25">
      <c r="A1224" t="s">
        <v>1244</v>
      </c>
      <c r="B1224" s="4">
        <v>46188</v>
      </c>
      <c r="C1224" s="4" t="str">
        <f t="shared" si="38"/>
        <v>Jun</v>
      </c>
      <c r="D1224" t="s">
        <v>1522</v>
      </c>
      <c r="E1224" t="s">
        <v>1523</v>
      </c>
      <c r="F1224" t="s">
        <v>1530</v>
      </c>
      <c r="G1224" t="s">
        <v>1547</v>
      </c>
      <c r="H1224" t="s">
        <v>1550</v>
      </c>
      <c r="I1224">
        <v>2026</v>
      </c>
      <c r="J1224" t="s">
        <v>1554</v>
      </c>
      <c r="K1224" t="s">
        <v>1556</v>
      </c>
      <c r="L1224">
        <v>1472090</v>
      </c>
      <c r="M1224">
        <v>1170386</v>
      </c>
      <c r="N1224">
        <v>301704</v>
      </c>
      <c r="O1224">
        <v>64</v>
      </c>
      <c r="P1224" t="str">
        <f t="shared" si="39"/>
        <v>senior</v>
      </c>
      <c r="Q1224" t="s">
        <v>1558</v>
      </c>
      <c r="R1224" t="s">
        <v>1562</v>
      </c>
      <c r="S1224" t="s">
        <v>1568</v>
      </c>
      <c r="T1224">
        <v>1448508</v>
      </c>
      <c r="U1224">
        <v>1</v>
      </c>
      <c r="V1224" t="s">
        <v>1582</v>
      </c>
      <c r="W1224" t="s">
        <v>1592</v>
      </c>
      <c r="X1224">
        <v>20.49</v>
      </c>
    </row>
    <row r="1225" spans="1:24" x14ac:dyDescent="0.25">
      <c r="A1225" t="s">
        <v>1245</v>
      </c>
      <c r="B1225" s="4">
        <v>45681</v>
      </c>
      <c r="C1225" s="4" t="str">
        <f t="shared" si="38"/>
        <v>Jan</v>
      </c>
      <c r="D1225" t="s">
        <v>1522</v>
      </c>
      <c r="E1225" t="s">
        <v>1526</v>
      </c>
      <c r="F1225" t="s">
        <v>1528</v>
      </c>
      <c r="G1225" t="s">
        <v>1539</v>
      </c>
      <c r="H1225" t="s">
        <v>4</v>
      </c>
      <c r="I1225">
        <v>2022</v>
      </c>
      <c r="J1225" t="s">
        <v>1554</v>
      </c>
      <c r="K1225" t="s">
        <v>1556</v>
      </c>
      <c r="L1225">
        <v>1314624</v>
      </c>
      <c r="M1225">
        <v>1225155</v>
      </c>
      <c r="N1225">
        <v>89469</v>
      </c>
      <c r="O1225">
        <v>35</v>
      </c>
      <c r="P1225" t="str">
        <f t="shared" si="39"/>
        <v>adult</v>
      </c>
      <c r="Q1225" t="s">
        <v>1558</v>
      </c>
      <c r="R1225" t="s">
        <v>1566</v>
      </c>
      <c r="S1225" t="s">
        <v>1567</v>
      </c>
      <c r="T1225">
        <v>1074762</v>
      </c>
      <c r="U1225">
        <v>1</v>
      </c>
      <c r="V1225" t="s">
        <v>1571</v>
      </c>
      <c r="W1225" t="s">
        <v>1591</v>
      </c>
      <c r="X1225">
        <v>6.81</v>
      </c>
    </row>
    <row r="1226" spans="1:24" x14ac:dyDescent="0.25">
      <c r="A1226" t="s">
        <v>1246</v>
      </c>
      <c r="B1226" s="4">
        <v>45864</v>
      </c>
      <c r="C1226" s="4" t="str">
        <f t="shared" si="38"/>
        <v>Jul</v>
      </c>
      <c r="D1226" t="s">
        <v>1522</v>
      </c>
      <c r="E1226" t="s">
        <v>1527</v>
      </c>
      <c r="F1226" t="s">
        <v>1537</v>
      </c>
      <c r="G1226" t="s">
        <v>1549</v>
      </c>
      <c r="H1226" t="s">
        <v>1551</v>
      </c>
      <c r="I1226">
        <v>2024</v>
      </c>
      <c r="J1226" t="s">
        <v>1554</v>
      </c>
      <c r="K1226" t="s">
        <v>1556</v>
      </c>
      <c r="L1226">
        <v>859509</v>
      </c>
      <c r="M1226">
        <v>763412</v>
      </c>
      <c r="N1226">
        <v>96097</v>
      </c>
      <c r="O1226">
        <v>40</v>
      </c>
      <c r="P1226" t="str">
        <f t="shared" si="39"/>
        <v>adult</v>
      </c>
      <c r="Q1226" t="s">
        <v>1559</v>
      </c>
      <c r="R1226" t="s">
        <v>1566</v>
      </c>
      <c r="S1226" t="s">
        <v>1570</v>
      </c>
      <c r="T1226">
        <v>785642</v>
      </c>
      <c r="U1226">
        <v>4</v>
      </c>
      <c r="V1226" t="s">
        <v>1579</v>
      </c>
      <c r="W1226" t="s">
        <v>1594</v>
      </c>
      <c r="X1226">
        <v>11.18</v>
      </c>
    </row>
    <row r="1227" spans="1:24" x14ac:dyDescent="0.25">
      <c r="A1227" t="s">
        <v>1247</v>
      </c>
      <c r="B1227" s="4">
        <v>45956</v>
      </c>
      <c r="C1227" s="4" t="str">
        <f t="shared" si="38"/>
        <v>Oct</v>
      </c>
      <c r="D1227" t="s">
        <v>1522</v>
      </c>
      <c r="E1227" t="s">
        <v>1523</v>
      </c>
      <c r="F1227" t="s">
        <v>1528</v>
      </c>
      <c r="G1227" t="s">
        <v>1540</v>
      </c>
      <c r="H1227" t="s">
        <v>1551</v>
      </c>
      <c r="I1227">
        <v>2025</v>
      </c>
      <c r="J1227" t="s">
        <v>1554</v>
      </c>
      <c r="K1227" t="s">
        <v>1557</v>
      </c>
      <c r="L1227">
        <v>709343</v>
      </c>
      <c r="M1227">
        <v>664558</v>
      </c>
      <c r="N1227">
        <v>44785</v>
      </c>
      <c r="O1227">
        <v>35</v>
      </c>
      <c r="P1227" t="str">
        <f t="shared" si="39"/>
        <v>adult</v>
      </c>
      <c r="Q1227" t="s">
        <v>1559</v>
      </c>
      <c r="R1227" t="s">
        <v>1563</v>
      </c>
      <c r="S1227" t="s">
        <v>1569</v>
      </c>
      <c r="T1227">
        <v>1753002</v>
      </c>
      <c r="U1227">
        <v>3</v>
      </c>
      <c r="V1227" t="s">
        <v>1574</v>
      </c>
      <c r="W1227" t="s">
        <v>1593</v>
      </c>
      <c r="X1227">
        <v>6.31</v>
      </c>
    </row>
    <row r="1228" spans="1:24" x14ac:dyDescent="0.25">
      <c r="A1228" t="s">
        <v>1248</v>
      </c>
      <c r="B1228" s="4">
        <v>45834</v>
      </c>
      <c r="C1228" s="4" t="str">
        <f t="shared" si="38"/>
        <v>Jun</v>
      </c>
      <c r="D1228" t="s">
        <v>1522</v>
      </c>
      <c r="E1228" t="s">
        <v>1523</v>
      </c>
      <c r="F1228" t="s">
        <v>1533</v>
      </c>
      <c r="G1228" t="s">
        <v>1539</v>
      </c>
      <c r="H1228" t="s">
        <v>1550</v>
      </c>
      <c r="I1228">
        <v>2025</v>
      </c>
      <c r="J1228" t="s">
        <v>1554</v>
      </c>
      <c r="K1228" t="s">
        <v>1556</v>
      </c>
      <c r="L1228">
        <v>1130606</v>
      </c>
      <c r="M1228">
        <v>1035559</v>
      </c>
      <c r="N1228">
        <v>95047</v>
      </c>
      <c r="O1228">
        <v>30</v>
      </c>
      <c r="P1228" t="str">
        <f t="shared" si="39"/>
        <v>young</v>
      </c>
      <c r="Q1228" t="s">
        <v>1559</v>
      </c>
      <c r="R1228" t="s">
        <v>1566</v>
      </c>
      <c r="S1228" t="s">
        <v>1570</v>
      </c>
      <c r="T1228">
        <v>1318302</v>
      </c>
      <c r="U1228">
        <v>5</v>
      </c>
      <c r="V1228" t="s">
        <v>1584</v>
      </c>
      <c r="W1228" t="s">
        <v>1592</v>
      </c>
      <c r="X1228">
        <v>8.41</v>
      </c>
    </row>
    <row r="1229" spans="1:24" x14ac:dyDescent="0.25">
      <c r="A1229" t="s">
        <v>1249</v>
      </c>
      <c r="B1229" s="4">
        <v>46145</v>
      </c>
      <c r="C1229" s="4" t="str">
        <f t="shared" si="38"/>
        <v>May</v>
      </c>
      <c r="D1229" t="s">
        <v>1522</v>
      </c>
      <c r="E1229" t="s">
        <v>1523</v>
      </c>
      <c r="F1229" t="s">
        <v>1536</v>
      </c>
      <c r="G1229" t="s">
        <v>1539</v>
      </c>
      <c r="H1229" t="s">
        <v>4</v>
      </c>
      <c r="I1229">
        <v>2024</v>
      </c>
      <c r="J1229" t="s">
        <v>1554</v>
      </c>
      <c r="K1229" t="s">
        <v>1557</v>
      </c>
      <c r="L1229">
        <v>1655131</v>
      </c>
      <c r="M1229">
        <v>1393464</v>
      </c>
      <c r="N1229">
        <v>261667</v>
      </c>
      <c r="O1229">
        <v>65</v>
      </c>
      <c r="P1229" t="str">
        <f t="shared" si="39"/>
        <v>senior</v>
      </c>
      <c r="Q1229" t="s">
        <v>1559</v>
      </c>
      <c r="R1229" t="s">
        <v>1566</v>
      </c>
      <c r="S1229" t="s">
        <v>1567</v>
      </c>
      <c r="T1229">
        <v>601925</v>
      </c>
      <c r="U1229">
        <v>4</v>
      </c>
      <c r="V1229" t="s">
        <v>1590</v>
      </c>
      <c r="W1229" t="s">
        <v>1592</v>
      </c>
      <c r="X1229">
        <v>15.81</v>
      </c>
    </row>
    <row r="1230" spans="1:24" x14ac:dyDescent="0.25">
      <c r="A1230" t="s">
        <v>1250</v>
      </c>
      <c r="B1230" s="4">
        <v>45973</v>
      </c>
      <c r="C1230" s="4" t="str">
        <f t="shared" si="38"/>
        <v>Nov</v>
      </c>
      <c r="D1230" t="s">
        <v>1522</v>
      </c>
      <c r="E1230" t="s">
        <v>1523</v>
      </c>
      <c r="F1230" t="s">
        <v>1534</v>
      </c>
      <c r="G1230" t="s">
        <v>1544</v>
      </c>
      <c r="H1230" t="s">
        <v>1550</v>
      </c>
      <c r="I1230">
        <v>2023</v>
      </c>
      <c r="J1230" t="s">
        <v>1554</v>
      </c>
      <c r="K1230" t="s">
        <v>1556</v>
      </c>
      <c r="L1230">
        <v>1415243</v>
      </c>
      <c r="M1230">
        <v>1238334</v>
      </c>
      <c r="N1230">
        <v>176909</v>
      </c>
      <c r="O1230">
        <v>50</v>
      </c>
      <c r="P1230" t="str">
        <f t="shared" si="39"/>
        <v>adult</v>
      </c>
      <c r="Q1230" t="s">
        <v>1558</v>
      </c>
      <c r="R1230" t="s">
        <v>1565</v>
      </c>
      <c r="S1230" t="s">
        <v>1567</v>
      </c>
      <c r="T1230">
        <v>1425289</v>
      </c>
      <c r="U1230">
        <v>1</v>
      </c>
      <c r="V1230" t="s">
        <v>1583</v>
      </c>
      <c r="W1230" t="s">
        <v>1593</v>
      </c>
      <c r="X1230">
        <v>12.5</v>
      </c>
    </row>
    <row r="1231" spans="1:24" x14ac:dyDescent="0.25">
      <c r="A1231" t="s">
        <v>1251</v>
      </c>
      <c r="B1231" s="4">
        <v>46239</v>
      </c>
      <c r="C1231" s="4" t="str">
        <f t="shared" si="38"/>
        <v>Aug</v>
      </c>
      <c r="D1231" t="s">
        <v>1522</v>
      </c>
      <c r="E1231" t="s">
        <v>1524</v>
      </c>
      <c r="F1231" t="s">
        <v>1536</v>
      </c>
      <c r="G1231" t="s">
        <v>1544</v>
      </c>
      <c r="H1231" t="s">
        <v>4</v>
      </c>
      <c r="I1231">
        <v>2024</v>
      </c>
      <c r="J1231" t="s">
        <v>1554</v>
      </c>
      <c r="K1231" t="s">
        <v>1557</v>
      </c>
      <c r="L1231">
        <v>1534122</v>
      </c>
      <c r="M1231">
        <v>1373841</v>
      </c>
      <c r="N1231">
        <v>160281</v>
      </c>
      <c r="O1231">
        <v>23</v>
      </c>
      <c r="P1231" t="str">
        <f t="shared" si="39"/>
        <v>young</v>
      </c>
      <c r="Q1231" t="s">
        <v>1558</v>
      </c>
      <c r="R1231" t="s">
        <v>1563</v>
      </c>
      <c r="S1231" t="s">
        <v>1569</v>
      </c>
      <c r="T1231">
        <v>2067243</v>
      </c>
      <c r="U1231">
        <v>5</v>
      </c>
      <c r="V1231" t="s">
        <v>1576</v>
      </c>
      <c r="W1231" t="s">
        <v>1594</v>
      </c>
      <c r="X1231">
        <v>10.45</v>
      </c>
    </row>
    <row r="1232" spans="1:24" x14ac:dyDescent="0.25">
      <c r="A1232" t="s">
        <v>1252</v>
      </c>
      <c r="B1232" s="4">
        <v>46153</v>
      </c>
      <c r="C1232" s="4" t="str">
        <f t="shared" si="38"/>
        <v>May</v>
      </c>
      <c r="D1232" t="s">
        <v>1522</v>
      </c>
      <c r="E1232" t="s">
        <v>1523</v>
      </c>
      <c r="F1232" t="s">
        <v>1532</v>
      </c>
      <c r="G1232" t="s">
        <v>1546</v>
      </c>
      <c r="H1232" t="s">
        <v>1551</v>
      </c>
      <c r="I1232">
        <v>2023</v>
      </c>
      <c r="J1232" t="s">
        <v>1554</v>
      </c>
      <c r="K1232" t="s">
        <v>1556</v>
      </c>
      <c r="L1232">
        <v>1011244</v>
      </c>
      <c r="M1232">
        <v>939836</v>
      </c>
      <c r="N1232">
        <v>71408</v>
      </c>
      <c r="O1232">
        <v>53</v>
      </c>
      <c r="P1232" t="str">
        <f t="shared" si="39"/>
        <v>senior</v>
      </c>
      <c r="Q1232" t="s">
        <v>1559</v>
      </c>
      <c r="R1232" t="s">
        <v>1561</v>
      </c>
      <c r="S1232" t="s">
        <v>1569</v>
      </c>
      <c r="T1232">
        <v>446426</v>
      </c>
      <c r="U1232">
        <v>4</v>
      </c>
      <c r="V1232" t="s">
        <v>1590</v>
      </c>
      <c r="W1232" t="s">
        <v>1592</v>
      </c>
      <c r="X1232">
        <v>7.06</v>
      </c>
    </row>
    <row r="1233" spans="1:24" x14ac:dyDescent="0.25">
      <c r="A1233" t="s">
        <v>1253</v>
      </c>
      <c r="B1233" s="4">
        <v>45814</v>
      </c>
      <c r="C1233" s="4" t="str">
        <f t="shared" si="38"/>
        <v>Jun</v>
      </c>
      <c r="D1233" t="s">
        <v>1522</v>
      </c>
      <c r="E1233" t="s">
        <v>1524</v>
      </c>
      <c r="F1233" t="s">
        <v>1536</v>
      </c>
      <c r="G1233" t="s">
        <v>1547</v>
      </c>
      <c r="H1233" t="s">
        <v>1552</v>
      </c>
      <c r="I1233">
        <v>2023</v>
      </c>
      <c r="J1233" t="s">
        <v>1555</v>
      </c>
      <c r="K1233" t="s">
        <v>1556</v>
      </c>
      <c r="L1233">
        <v>1905970</v>
      </c>
      <c r="M1233">
        <v>1615952</v>
      </c>
      <c r="N1233">
        <v>290018</v>
      </c>
      <c r="O1233">
        <v>36</v>
      </c>
      <c r="P1233" t="str">
        <f t="shared" si="39"/>
        <v>adult</v>
      </c>
      <c r="Q1233" t="s">
        <v>1558</v>
      </c>
      <c r="R1233" t="s">
        <v>1566</v>
      </c>
      <c r="S1233" t="s">
        <v>1567</v>
      </c>
      <c r="T1233">
        <v>1462922</v>
      </c>
      <c r="U1233">
        <v>5</v>
      </c>
      <c r="V1233" t="s">
        <v>1584</v>
      </c>
      <c r="W1233" t="s">
        <v>1592</v>
      </c>
      <c r="X1233">
        <v>15.22</v>
      </c>
    </row>
    <row r="1234" spans="1:24" x14ac:dyDescent="0.25">
      <c r="A1234" t="s">
        <v>1254</v>
      </c>
      <c r="B1234" s="4">
        <v>45931</v>
      </c>
      <c r="C1234" s="4" t="str">
        <f t="shared" si="38"/>
        <v>Oct</v>
      </c>
      <c r="D1234" t="s">
        <v>1522</v>
      </c>
      <c r="E1234" t="s">
        <v>1523</v>
      </c>
      <c r="F1234" t="s">
        <v>1531</v>
      </c>
      <c r="G1234" t="s">
        <v>1549</v>
      </c>
      <c r="H1234" t="s">
        <v>4</v>
      </c>
      <c r="I1234">
        <v>2025</v>
      </c>
      <c r="J1234" t="s">
        <v>1554</v>
      </c>
      <c r="K1234" t="s">
        <v>1556</v>
      </c>
      <c r="L1234">
        <v>1301326</v>
      </c>
      <c r="M1234">
        <v>1125878</v>
      </c>
      <c r="N1234">
        <v>175448</v>
      </c>
      <c r="O1234">
        <v>55</v>
      </c>
      <c r="P1234" t="str">
        <f t="shared" si="39"/>
        <v>senior</v>
      </c>
      <c r="Q1234" t="s">
        <v>1558</v>
      </c>
      <c r="R1234" t="s">
        <v>1565</v>
      </c>
      <c r="S1234" t="s">
        <v>1567</v>
      </c>
      <c r="T1234">
        <v>807870</v>
      </c>
      <c r="U1234">
        <v>2</v>
      </c>
      <c r="V1234" t="s">
        <v>1574</v>
      </c>
      <c r="W1234" t="s">
        <v>1593</v>
      </c>
      <c r="X1234">
        <v>13.48</v>
      </c>
    </row>
    <row r="1235" spans="1:24" x14ac:dyDescent="0.25">
      <c r="A1235" t="s">
        <v>1255</v>
      </c>
      <c r="B1235" s="4">
        <v>46196</v>
      </c>
      <c r="C1235" s="4" t="str">
        <f t="shared" si="38"/>
        <v>Jun</v>
      </c>
      <c r="D1235" t="s">
        <v>1522</v>
      </c>
      <c r="E1235" t="s">
        <v>1527</v>
      </c>
      <c r="F1235" t="s">
        <v>1528</v>
      </c>
      <c r="G1235" t="s">
        <v>1547</v>
      </c>
      <c r="H1235" t="s">
        <v>1550</v>
      </c>
      <c r="I1235">
        <v>2022</v>
      </c>
      <c r="J1235" t="s">
        <v>1554</v>
      </c>
      <c r="K1235" t="s">
        <v>1556</v>
      </c>
      <c r="L1235">
        <v>1340806</v>
      </c>
      <c r="M1235">
        <v>1270802</v>
      </c>
      <c r="N1235">
        <v>70004</v>
      </c>
      <c r="O1235">
        <v>64</v>
      </c>
      <c r="P1235" t="str">
        <f t="shared" si="39"/>
        <v>senior</v>
      </c>
      <c r="Q1235" t="s">
        <v>1558</v>
      </c>
      <c r="R1235" t="s">
        <v>1562</v>
      </c>
      <c r="S1235" t="s">
        <v>1570</v>
      </c>
      <c r="T1235">
        <v>174846</v>
      </c>
      <c r="U1235">
        <v>1</v>
      </c>
      <c r="V1235" t="s">
        <v>1582</v>
      </c>
      <c r="W1235" t="s">
        <v>1592</v>
      </c>
      <c r="X1235">
        <v>5.22</v>
      </c>
    </row>
    <row r="1236" spans="1:24" x14ac:dyDescent="0.25">
      <c r="A1236" t="s">
        <v>1256</v>
      </c>
      <c r="B1236" s="4">
        <v>45868</v>
      </c>
      <c r="C1236" s="4" t="str">
        <f t="shared" si="38"/>
        <v>Jul</v>
      </c>
      <c r="D1236" t="s">
        <v>1522</v>
      </c>
      <c r="E1236" t="s">
        <v>1527</v>
      </c>
      <c r="F1236" t="s">
        <v>1537</v>
      </c>
      <c r="G1236" t="s">
        <v>1549</v>
      </c>
      <c r="H1236" t="s">
        <v>1551</v>
      </c>
      <c r="I1236">
        <v>2026</v>
      </c>
      <c r="J1236" t="s">
        <v>1554</v>
      </c>
      <c r="K1236" t="s">
        <v>1557</v>
      </c>
      <c r="L1236">
        <v>867935</v>
      </c>
      <c r="M1236">
        <v>809461</v>
      </c>
      <c r="N1236">
        <v>58474</v>
      </c>
      <c r="O1236">
        <v>27</v>
      </c>
      <c r="P1236" t="str">
        <f t="shared" si="39"/>
        <v>young</v>
      </c>
      <c r="Q1236" t="s">
        <v>1558</v>
      </c>
      <c r="R1236" t="s">
        <v>1564</v>
      </c>
      <c r="S1236" t="s">
        <v>1570</v>
      </c>
      <c r="T1236">
        <v>824054</v>
      </c>
      <c r="U1236">
        <v>2</v>
      </c>
      <c r="V1236" t="s">
        <v>1579</v>
      </c>
      <c r="W1236" t="s">
        <v>1594</v>
      </c>
      <c r="X1236">
        <v>6.74</v>
      </c>
    </row>
    <row r="1237" spans="1:24" x14ac:dyDescent="0.25">
      <c r="A1237" t="s">
        <v>1257</v>
      </c>
      <c r="B1237" s="4">
        <v>45685</v>
      </c>
      <c r="C1237" s="4" t="str">
        <f t="shared" si="38"/>
        <v>Jan</v>
      </c>
      <c r="D1237" t="s">
        <v>1522</v>
      </c>
      <c r="E1237" t="s">
        <v>1525</v>
      </c>
      <c r="F1237" t="s">
        <v>1531</v>
      </c>
      <c r="G1237" t="s">
        <v>1548</v>
      </c>
      <c r="H1237" t="s">
        <v>4</v>
      </c>
      <c r="I1237">
        <v>2023</v>
      </c>
      <c r="J1237" t="s">
        <v>1554</v>
      </c>
      <c r="K1237" t="s">
        <v>1556</v>
      </c>
      <c r="L1237">
        <v>1444065</v>
      </c>
      <c r="M1237">
        <v>1344595</v>
      </c>
      <c r="N1237">
        <v>99470</v>
      </c>
      <c r="O1237">
        <v>23</v>
      </c>
      <c r="P1237" t="str">
        <f t="shared" si="39"/>
        <v>young</v>
      </c>
      <c r="Q1237" t="s">
        <v>1558</v>
      </c>
      <c r="R1237" t="s">
        <v>1565</v>
      </c>
      <c r="S1237" t="s">
        <v>1570</v>
      </c>
      <c r="T1237">
        <v>1128621</v>
      </c>
      <c r="U1237">
        <v>1</v>
      </c>
      <c r="V1237" t="s">
        <v>1571</v>
      </c>
      <c r="W1237" t="s">
        <v>1591</v>
      </c>
      <c r="X1237">
        <v>6.89</v>
      </c>
    </row>
    <row r="1238" spans="1:24" x14ac:dyDescent="0.25">
      <c r="A1238" t="s">
        <v>1258</v>
      </c>
      <c r="B1238" s="4">
        <v>45922</v>
      </c>
      <c r="C1238" s="4" t="str">
        <f t="shared" si="38"/>
        <v>Sep</v>
      </c>
      <c r="D1238" t="s">
        <v>1522</v>
      </c>
      <c r="E1238" t="s">
        <v>1526</v>
      </c>
      <c r="F1238" t="s">
        <v>1533</v>
      </c>
      <c r="G1238" t="s">
        <v>1539</v>
      </c>
      <c r="H1238" t="s">
        <v>1551</v>
      </c>
      <c r="I1238">
        <v>2023</v>
      </c>
      <c r="J1238" t="s">
        <v>1554</v>
      </c>
      <c r="K1238" t="s">
        <v>1556</v>
      </c>
      <c r="L1238">
        <v>746356</v>
      </c>
      <c r="M1238">
        <v>674792</v>
      </c>
      <c r="N1238">
        <v>71564</v>
      </c>
      <c r="O1238">
        <v>35</v>
      </c>
      <c r="P1238" t="str">
        <f t="shared" si="39"/>
        <v>adult</v>
      </c>
      <c r="Q1238" t="s">
        <v>1558</v>
      </c>
      <c r="R1238" t="s">
        <v>1564</v>
      </c>
      <c r="S1238" t="s">
        <v>1567</v>
      </c>
      <c r="T1238">
        <v>796752</v>
      </c>
      <c r="U1238">
        <v>1</v>
      </c>
      <c r="V1238" t="s">
        <v>1577</v>
      </c>
      <c r="W1238" t="s">
        <v>1594</v>
      </c>
      <c r="X1238">
        <v>9.59</v>
      </c>
    </row>
    <row r="1239" spans="1:24" x14ac:dyDescent="0.25">
      <c r="A1239" t="s">
        <v>1259</v>
      </c>
      <c r="B1239" s="4">
        <v>45780</v>
      </c>
      <c r="C1239" s="4" t="str">
        <f t="shared" si="38"/>
        <v>May</v>
      </c>
      <c r="D1239" t="s">
        <v>1522</v>
      </c>
      <c r="E1239" t="s">
        <v>1526</v>
      </c>
      <c r="F1239" t="s">
        <v>1536</v>
      </c>
      <c r="G1239" t="s">
        <v>1549</v>
      </c>
      <c r="H1239" t="s">
        <v>4</v>
      </c>
      <c r="I1239">
        <v>2023</v>
      </c>
      <c r="J1239" t="s">
        <v>1554</v>
      </c>
      <c r="K1239" t="s">
        <v>1556</v>
      </c>
      <c r="L1239">
        <v>1675022</v>
      </c>
      <c r="M1239">
        <v>1534610</v>
      </c>
      <c r="N1239">
        <v>140412</v>
      </c>
      <c r="O1239">
        <v>55</v>
      </c>
      <c r="P1239" t="str">
        <f t="shared" si="39"/>
        <v>senior</v>
      </c>
      <c r="Q1239" t="s">
        <v>1558</v>
      </c>
      <c r="R1239" t="s">
        <v>1566</v>
      </c>
      <c r="S1239" t="s">
        <v>1567</v>
      </c>
      <c r="T1239">
        <v>805473</v>
      </c>
      <c r="U1239">
        <v>5</v>
      </c>
      <c r="V1239" t="s">
        <v>1572</v>
      </c>
      <c r="W1239" t="s">
        <v>1592</v>
      </c>
      <c r="X1239">
        <v>8.3800000000000008</v>
      </c>
    </row>
    <row r="1240" spans="1:24" x14ac:dyDescent="0.25">
      <c r="A1240" t="s">
        <v>1260</v>
      </c>
      <c r="B1240" s="4">
        <v>46044</v>
      </c>
      <c r="C1240" s="4" t="str">
        <f t="shared" si="38"/>
        <v>Jan</v>
      </c>
      <c r="D1240" t="s">
        <v>1522</v>
      </c>
      <c r="E1240" t="s">
        <v>1524</v>
      </c>
      <c r="F1240" t="s">
        <v>1530</v>
      </c>
      <c r="G1240" t="s">
        <v>1538</v>
      </c>
      <c r="H1240" t="s">
        <v>1551</v>
      </c>
      <c r="I1240">
        <v>2024</v>
      </c>
      <c r="J1240" t="s">
        <v>1554</v>
      </c>
      <c r="K1240" t="s">
        <v>1556</v>
      </c>
      <c r="L1240">
        <v>795020</v>
      </c>
      <c r="M1240">
        <v>683048</v>
      </c>
      <c r="N1240">
        <v>111972</v>
      </c>
      <c r="O1240">
        <v>65</v>
      </c>
      <c r="P1240" t="str">
        <f t="shared" si="39"/>
        <v>senior</v>
      </c>
      <c r="Q1240" t="s">
        <v>1558</v>
      </c>
      <c r="R1240" t="s">
        <v>1566</v>
      </c>
      <c r="S1240" t="s">
        <v>1568</v>
      </c>
      <c r="T1240">
        <v>1491889</v>
      </c>
      <c r="U1240">
        <v>5</v>
      </c>
      <c r="V1240" t="s">
        <v>1581</v>
      </c>
      <c r="W1240" t="s">
        <v>1591</v>
      </c>
      <c r="X1240">
        <v>14.08</v>
      </c>
    </row>
    <row r="1241" spans="1:24" x14ac:dyDescent="0.25">
      <c r="A1241" t="s">
        <v>1261</v>
      </c>
      <c r="B1241" s="4">
        <v>45797</v>
      </c>
      <c r="C1241" s="4" t="str">
        <f t="shared" si="38"/>
        <v>May</v>
      </c>
      <c r="D1241" t="s">
        <v>1522</v>
      </c>
      <c r="E1241" t="s">
        <v>1524</v>
      </c>
      <c r="F1241" t="s">
        <v>1532</v>
      </c>
      <c r="G1241" t="s">
        <v>1548</v>
      </c>
      <c r="H1241" t="s">
        <v>1551</v>
      </c>
      <c r="I1241">
        <v>2025</v>
      </c>
      <c r="J1241" t="s">
        <v>1554</v>
      </c>
      <c r="K1241" t="s">
        <v>1556</v>
      </c>
      <c r="L1241">
        <v>846871</v>
      </c>
      <c r="M1241">
        <v>699442</v>
      </c>
      <c r="N1241">
        <v>147429</v>
      </c>
      <c r="O1241">
        <v>30</v>
      </c>
      <c r="P1241" t="str">
        <f t="shared" si="39"/>
        <v>young</v>
      </c>
      <c r="Q1241" t="s">
        <v>1558</v>
      </c>
      <c r="R1241" t="s">
        <v>1565</v>
      </c>
      <c r="S1241" t="s">
        <v>1570</v>
      </c>
      <c r="T1241">
        <v>1346195</v>
      </c>
      <c r="U1241">
        <v>4</v>
      </c>
      <c r="V1241" t="s">
        <v>1572</v>
      </c>
      <c r="W1241" t="s">
        <v>1592</v>
      </c>
      <c r="X1241">
        <v>17.41</v>
      </c>
    </row>
    <row r="1242" spans="1:24" x14ac:dyDescent="0.25">
      <c r="A1242" t="s">
        <v>1262</v>
      </c>
      <c r="B1242" s="4">
        <v>45745</v>
      </c>
      <c r="C1242" s="4" t="str">
        <f t="shared" si="38"/>
        <v>Mar</v>
      </c>
      <c r="D1242" t="s">
        <v>1522</v>
      </c>
      <c r="E1242" t="s">
        <v>1525</v>
      </c>
      <c r="F1242" t="s">
        <v>1537</v>
      </c>
      <c r="G1242" t="s">
        <v>1547</v>
      </c>
      <c r="H1242" t="s">
        <v>1550</v>
      </c>
      <c r="I1242">
        <v>2024</v>
      </c>
      <c r="J1242" t="s">
        <v>1554</v>
      </c>
      <c r="K1242" t="s">
        <v>1557</v>
      </c>
      <c r="L1242">
        <v>1158320</v>
      </c>
      <c r="M1242">
        <v>1007119</v>
      </c>
      <c r="N1242">
        <v>151201</v>
      </c>
      <c r="O1242">
        <v>33</v>
      </c>
      <c r="P1242" t="str">
        <f t="shared" si="39"/>
        <v>adult</v>
      </c>
      <c r="Q1242" t="s">
        <v>1558</v>
      </c>
      <c r="R1242" t="s">
        <v>1562</v>
      </c>
      <c r="S1242" t="s">
        <v>1570</v>
      </c>
      <c r="T1242">
        <v>1825786</v>
      </c>
      <c r="U1242">
        <v>2</v>
      </c>
      <c r="V1242" t="s">
        <v>1588</v>
      </c>
      <c r="W1242" t="s">
        <v>1591</v>
      </c>
      <c r="X1242">
        <v>13.05</v>
      </c>
    </row>
    <row r="1243" spans="1:24" x14ac:dyDescent="0.25">
      <c r="A1243" t="s">
        <v>1263</v>
      </c>
      <c r="B1243" s="4">
        <v>46036</v>
      </c>
      <c r="C1243" s="4" t="str">
        <f t="shared" si="38"/>
        <v>Jan</v>
      </c>
      <c r="D1243" t="s">
        <v>1522</v>
      </c>
      <c r="E1243" t="s">
        <v>1524</v>
      </c>
      <c r="F1243" t="s">
        <v>1532</v>
      </c>
      <c r="G1243" t="s">
        <v>1541</v>
      </c>
      <c r="H1243" t="s">
        <v>1550</v>
      </c>
      <c r="I1243">
        <v>2026</v>
      </c>
      <c r="J1243" t="s">
        <v>1554</v>
      </c>
      <c r="K1243" t="s">
        <v>1557</v>
      </c>
      <c r="L1243">
        <v>1542619</v>
      </c>
      <c r="M1243">
        <v>1355730</v>
      </c>
      <c r="N1243">
        <v>186889</v>
      </c>
      <c r="O1243">
        <v>42</v>
      </c>
      <c r="P1243" t="str">
        <f t="shared" si="39"/>
        <v>adult</v>
      </c>
      <c r="Q1243" t="s">
        <v>1558</v>
      </c>
      <c r="R1243" t="s">
        <v>1564</v>
      </c>
      <c r="S1243" t="s">
        <v>1567</v>
      </c>
      <c r="T1243">
        <v>1273918</v>
      </c>
      <c r="U1243">
        <v>1</v>
      </c>
      <c r="V1243" t="s">
        <v>1581</v>
      </c>
      <c r="W1243" t="s">
        <v>1591</v>
      </c>
      <c r="X1243">
        <v>12.12</v>
      </c>
    </row>
    <row r="1244" spans="1:24" x14ac:dyDescent="0.25">
      <c r="A1244" t="s">
        <v>1264</v>
      </c>
      <c r="B1244" s="4">
        <v>46135</v>
      </c>
      <c r="C1244" s="4" t="str">
        <f t="shared" si="38"/>
        <v>Apr</v>
      </c>
      <c r="D1244" t="s">
        <v>1522</v>
      </c>
      <c r="E1244" t="s">
        <v>1526</v>
      </c>
      <c r="F1244" t="s">
        <v>1531</v>
      </c>
      <c r="G1244" t="s">
        <v>1542</v>
      </c>
      <c r="H1244" t="s">
        <v>1550</v>
      </c>
      <c r="I1244">
        <v>2025</v>
      </c>
      <c r="J1244" t="s">
        <v>1554</v>
      </c>
      <c r="K1244" t="s">
        <v>1556</v>
      </c>
      <c r="L1244">
        <v>1528546</v>
      </c>
      <c r="M1244">
        <v>1299437</v>
      </c>
      <c r="N1244">
        <v>229109</v>
      </c>
      <c r="O1244">
        <v>32</v>
      </c>
      <c r="P1244" t="str">
        <f t="shared" si="39"/>
        <v>adult</v>
      </c>
      <c r="Q1244" t="s">
        <v>1558</v>
      </c>
      <c r="R1244" t="s">
        <v>1561</v>
      </c>
      <c r="S1244" t="s">
        <v>1570</v>
      </c>
      <c r="T1244">
        <v>1509761</v>
      </c>
      <c r="U1244">
        <v>5</v>
      </c>
      <c r="V1244" t="s">
        <v>1580</v>
      </c>
      <c r="W1244" t="s">
        <v>1592</v>
      </c>
      <c r="X1244">
        <v>14.99</v>
      </c>
    </row>
    <row r="1245" spans="1:24" x14ac:dyDescent="0.25">
      <c r="A1245" t="s">
        <v>1265</v>
      </c>
      <c r="B1245" s="4">
        <v>46007</v>
      </c>
      <c r="C1245" s="4" t="str">
        <f t="shared" si="38"/>
        <v>Dec</v>
      </c>
      <c r="D1245" t="s">
        <v>1522</v>
      </c>
      <c r="E1245" t="s">
        <v>1523</v>
      </c>
      <c r="F1245" t="s">
        <v>1534</v>
      </c>
      <c r="G1245" t="s">
        <v>1549</v>
      </c>
      <c r="H1245" t="s">
        <v>1551</v>
      </c>
      <c r="I1245">
        <v>2024</v>
      </c>
      <c r="J1245" t="s">
        <v>1554</v>
      </c>
      <c r="K1245" t="s">
        <v>1556</v>
      </c>
      <c r="L1245">
        <v>877341</v>
      </c>
      <c r="M1245">
        <v>774626</v>
      </c>
      <c r="N1245">
        <v>102715</v>
      </c>
      <c r="O1245">
        <v>21</v>
      </c>
      <c r="P1245" t="str">
        <f t="shared" si="39"/>
        <v>young</v>
      </c>
      <c r="Q1245" t="s">
        <v>1559</v>
      </c>
      <c r="R1245" t="s">
        <v>1562</v>
      </c>
      <c r="S1245" t="s">
        <v>1567</v>
      </c>
      <c r="T1245">
        <v>1885115</v>
      </c>
      <c r="U1245">
        <v>1</v>
      </c>
      <c r="V1245" t="s">
        <v>1575</v>
      </c>
      <c r="W1245" t="s">
        <v>1593</v>
      </c>
      <c r="X1245">
        <v>11.71</v>
      </c>
    </row>
    <row r="1246" spans="1:24" x14ac:dyDescent="0.25">
      <c r="A1246" t="s">
        <v>1266</v>
      </c>
      <c r="B1246" s="4">
        <v>45682</v>
      </c>
      <c r="C1246" s="4" t="str">
        <f t="shared" si="38"/>
        <v>Jan</v>
      </c>
      <c r="D1246" t="s">
        <v>1522</v>
      </c>
      <c r="E1246" t="s">
        <v>1523</v>
      </c>
      <c r="F1246" t="s">
        <v>1532</v>
      </c>
      <c r="G1246" t="s">
        <v>1539</v>
      </c>
      <c r="H1246" t="s">
        <v>1552</v>
      </c>
      <c r="I1246">
        <v>2024</v>
      </c>
      <c r="J1246" t="s">
        <v>1555</v>
      </c>
      <c r="K1246" t="s">
        <v>1556</v>
      </c>
      <c r="L1246">
        <v>1890879</v>
      </c>
      <c r="M1246">
        <v>1535252</v>
      </c>
      <c r="N1246">
        <v>355627</v>
      </c>
      <c r="O1246">
        <v>33</v>
      </c>
      <c r="P1246" t="str">
        <f t="shared" si="39"/>
        <v>adult</v>
      </c>
      <c r="Q1246" t="s">
        <v>1558</v>
      </c>
      <c r="R1246" t="s">
        <v>1562</v>
      </c>
      <c r="S1246" t="s">
        <v>1569</v>
      </c>
      <c r="T1246">
        <v>247550</v>
      </c>
      <c r="U1246">
        <v>1</v>
      </c>
      <c r="V1246" t="s">
        <v>1571</v>
      </c>
      <c r="W1246" t="s">
        <v>1591</v>
      </c>
      <c r="X1246">
        <v>18.809999999999999</v>
      </c>
    </row>
    <row r="1247" spans="1:24" x14ac:dyDescent="0.25">
      <c r="A1247" t="s">
        <v>1267</v>
      </c>
      <c r="B1247" s="4">
        <v>45738</v>
      </c>
      <c r="C1247" s="4" t="str">
        <f t="shared" si="38"/>
        <v>Mar</v>
      </c>
      <c r="D1247" t="s">
        <v>1522</v>
      </c>
      <c r="E1247" t="s">
        <v>1526</v>
      </c>
      <c r="F1247" t="s">
        <v>1533</v>
      </c>
      <c r="G1247" t="s">
        <v>1549</v>
      </c>
      <c r="H1247" t="s">
        <v>1550</v>
      </c>
      <c r="I1247">
        <v>2023</v>
      </c>
      <c r="J1247" t="s">
        <v>1554</v>
      </c>
      <c r="K1247" t="s">
        <v>1557</v>
      </c>
      <c r="L1247">
        <v>1234968</v>
      </c>
      <c r="M1247">
        <v>1000210</v>
      </c>
      <c r="N1247">
        <v>234758</v>
      </c>
      <c r="O1247">
        <v>39</v>
      </c>
      <c r="P1247" t="str">
        <f t="shared" si="39"/>
        <v>adult</v>
      </c>
      <c r="Q1247" t="s">
        <v>1559</v>
      </c>
      <c r="R1247" t="s">
        <v>1566</v>
      </c>
      <c r="S1247" t="s">
        <v>1567</v>
      </c>
      <c r="T1247">
        <v>539230</v>
      </c>
      <c r="U1247">
        <v>5</v>
      </c>
      <c r="V1247" t="s">
        <v>1588</v>
      </c>
      <c r="W1247" t="s">
        <v>1591</v>
      </c>
      <c r="X1247">
        <v>19.010000000000002</v>
      </c>
    </row>
    <row r="1248" spans="1:24" x14ac:dyDescent="0.25">
      <c r="A1248" t="s">
        <v>1268</v>
      </c>
      <c r="B1248" s="4">
        <v>46126</v>
      </c>
      <c r="C1248" s="4" t="str">
        <f t="shared" si="38"/>
        <v>Apr</v>
      </c>
      <c r="D1248" t="s">
        <v>1522</v>
      </c>
      <c r="E1248" t="s">
        <v>1524</v>
      </c>
      <c r="F1248" t="s">
        <v>1533</v>
      </c>
      <c r="G1248" t="s">
        <v>1549</v>
      </c>
      <c r="H1248" t="s">
        <v>1551</v>
      </c>
      <c r="I1248">
        <v>2025</v>
      </c>
      <c r="J1248" t="s">
        <v>1554</v>
      </c>
      <c r="K1248" t="s">
        <v>1556</v>
      </c>
      <c r="L1248">
        <v>834934</v>
      </c>
      <c r="M1248">
        <v>786405</v>
      </c>
      <c r="N1248">
        <v>48529</v>
      </c>
      <c r="O1248">
        <v>52</v>
      </c>
      <c r="P1248" t="str">
        <f t="shared" si="39"/>
        <v>senior</v>
      </c>
      <c r="Q1248" t="s">
        <v>1558</v>
      </c>
      <c r="R1248" t="s">
        <v>1561</v>
      </c>
      <c r="S1248" t="s">
        <v>1567</v>
      </c>
      <c r="T1248">
        <v>1892764</v>
      </c>
      <c r="U1248">
        <v>2</v>
      </c>
      <c r="V1248" t="s">
        <v>1580</v>
      </c>
      <c r="W1248" t="s">
        <v>1592</v>
      </c>
      <c r="X1248">
        <v>5.81</v>
      </c>
    </row>
    <row r="1249" spans="1:24" x14ac:dyDescent="0.25">
      <c r="A1249" t="s">
        <v>1269</v>
      </c>
      <c r="B1249" s="4">
        <v>45837</v>
      </c>
      <c r="C1249" s="4" t="str">
        <f t="shared" si="38"/>
        <v>Jun</v>
      </c>
      <c r="D1249" t="s">
        <v>1522</v>
      </c>
      <c r="E1249" t="s">
        <v>1527</v>
      </c>
      <c r="F1249" t="s">
        <v>1535</v>
      </c>
      <c r="G1249" t="s">
        <v>1548</v>
      </c>
      <c r="H1249" t="s">
        <v>4</v>
      </c>
      <c r="I1249">
        <v>2025</v>
      </c>
      <c r="J1249" t="s">
        <v>1554</v>
      </c>
      <c r="K1249" t="s">
        <v>1556</v>
      </c>
      <c r="L1249">
        <v>1215474</v>
      </c>
      <c r="M1249">
        <v>1116779</v>
      </c>
      <c r="N1249">
        <v>98695</v>
      </c>
      <c r="O1249">
        <v>23</v>
      </c>
      <c r="P1249" t="str">
        <f t="shared" si="39"/>
        <v>young</v>
      </c>
      <c r="Q1249" t="s">
        <v>1559</v>
      </c>
      <c r="R1249" t="s">
        <v>1566</v>
      </c>
      <c r="S1249" t="s">
        <v>1567</v>
      </c>
      <c r="T1249">
        <v>1204568</v>
      </c>
      <c r="U1249">
        <v>3</v>
      </c>
      <c r="V1249" t="s">
        <v>1584</v>
      </c>
      <c r="W1249" t="s">
        <v>1592</v>
      </c>
      <c r="X1249">
        <v>8.1199999999999992</v>
      </c>
    </row>
    <row r="1250" spans="1:24" x14ac:dyDescent="0.25">
      <c r="A1250" t="s">
        <v>1270</v>
      </c>
      <c r="B1250" s="4">
        <v>46135</v>
      </c>
      <c r="C1250" s="4" t="str">
        <f t="shared" si="38"/>
        <v>Apr</v>
      </c>
      <c r="D1250" t="s">
        <v>1522</v>
      </c>
      <c r="E1250" t="s">
        <v>1523</v>
      </c>
      <c r="F1250" t="s">
        <v>1529</v>
      </c>
      <c r="G1250" t="s">
        <v>1541</v>
      </c>
      <c r="H1250" t="s">
        <v>4</v>
      </c>
      <c r="I1250">
        <v>2025</v>
      </c>
      <c r="J1250" t="s">
        <v>1554</v>
      </c>
      <c r="K1250" t="s">
        <v>1557</v>
      </c>
      <c r="L1250">
        <v>1376061</v>
      </c>
      <c r="M1250">
        <v>1162555</v>
      </c>
      <c r="N1250">
        <v>213506</v>
      </c>
      <c r="O1250">
        <v>48</v>
      </c>
      <c r="P1250" t="str">
        <f t="shared" si="39"/>
        <v>adult</v>
      </c>
      <c r="Q1250" t="s">
        <v>1559</v>
      </c>
      <c r="R1250" t="s">
        <v>1563</v>
      </c>
      <c r="S1250" t="s">
        <v>1568</v>
      </c>
      <c r="T1250">
        <v>932010</v>
      </c>
      <c r="U1250">
        <v>1</v>
      </c>
      <c r="V1250" t="s">
        <v>1580</v>
      </c>
      <c r="W1250" t="s">
        <v>1592</v>
      </c>
      <c r="X1250">
        <v>15.52</v>
      </c>
    </row>
    <row r="1251" spans="1:24" x14ac:dyDescent="0.25">
      <c r="A1251" t="s">
        <v>1271</v>
      </c>
      <c r="B1251" s="4">
        <v>45997</v>
      </c>
      <c r="C1251" s="4" t="str">
        <f t="shared" si="38"/>
        <v>Dec</v>
      </c>
      <c r="D1251" t="s">
        <v>1522</v>
      </c>
      <c r="E1251" t="s">
        <v>1525</v>
      </c>
      <c r="F1251" t="s">
        <v>1534</v>
      </c>
      <c r="G1251" t="s">
        <v>1546</v>
      </c>
      <c r="H1251" t="s">
        <v>1550</v>
      </c>
      <c r="I1251">
        <v>2022</v>
      </c>
      <c r="J1251" t="s">
        <v>1554</v>
      </c>
      <c r="K1251" t="s">
        <v>1557</v>
      </c>
      <c r="L1251">
        <v>1595935</v>
      </c>
      <c r="M1251">
        <v>1325344</v>
      </c>
      <c r="N1251">
        <v>270591</v>
      </c>
      <c r="O1251">
        <v>50</v>
      </c>
      <c r="P1251" t="str">
        <f t="shared" si="39"/>
        <v>adult</v>
      </c>
      <c r="Q1251" t="s">
        <v>1558</v>
      </c>
      <c r="R1251" t="s">
        <v>1564</v>
      </c>
      <c r="S1251" t="s">
        <v>1568</v>
      </c>
      <c r="T1251">
        <v>962944</v>
      </c>
      <c r="U1251">
        <v>2</v>
      </c>
      <c r="V1251" t="s">
        <v>1575</v>
      </c>
      <c r="W1251" t="s">
        <v>1593</v>
      </c>
      <c r="X1251">
        <v>16.96</v>
      </c>
    </row>
    <row r="1252" spans="1:24" x14ac:dyDescent="0.25">
      <c r="A1252" t="s">
        <v>1272</v>
      </c>
      <c r="B1252" s="4">
        <v>46006</v>
      </c>
      <c r="C1252" s="4" t="str">
        <f t="shared" si="38"/>
        <v>Dec</v>
      </c>
      <c r="D1252" t="s">
        <v>1522</v>
      </c>
      <c r="E1252" t="s">
        <v>1523</v>
      </c>
      <c r="F1252" t="s">
        <v>1537</v>
      </c>
      <c r="G1252" t="s">
        <v>1541</v>
      </c>
      <c r="H1252" t="s">
        <v>1551</v>
      </c>
      <c r="I1252">
        <v>2026</v>
      </c>
      <c r="J1252" t="s">
        <v>1554</v>
      </c>
      <c r="K1252" t="s">
        <v>1557</v>
      </c>
      <c r="L1252">
        <v>841380</v>
      </c>
      <c r="M1252">
        <v>816229</v>
      </c>
      <c r="N1252">
        <v>25151</v>
      </c>
      <c r="O1252">
        <v>24</v>
      </c>
      <c r="P1252" t="str">
        <f t="shared" si="39"/>
        <v>young</v>
      </c>
      <c r="Q1252" t="s">
        <v>1558</v>
      </c>
      <c r="R1252" t="s">
        <v>1564</v>
      </c>
      <c r="S1252" t="s">
        <v>1567</v>
      </c>
      <c r="T1252">
        <v>169859</v>
      </c>
      <c r="U1252">
        <v>3</v>
      </c>
      <c r="V1252" t="s">
        <v>1575</v>
      </c>
      <c r="W1252" t="s">
        <v>1593</v>
      </c>
      <c r="X1252">
        <v>2.99</v>
      </c>
    </row>
    <row r="1253" spans="1:24" x14ac:dyDescent="0.25">
      <c r="A1253" t="s">
        <v>1273</v>
      </c>
      <c r="B1253" s="4">
        <v>45978</v>
      </c>
      <c r="C1253" s="4" t="str">
        <f t="shared" si="38"/>
        <v>Nov</v>
      </c>
      <c r="D1253" t="s">
        <v>1522</v>
      </c>
      <c r="E1253" t="s">
        <v>1526</v>
      </c>
      <c r="F1253" t="s">
        <v>1532</v>
      </c>
      <c r="G1253" t="s">
        <v>1545</v>
      </c>
      <c r="H1253" t="s">
        <v>4</v>
      </c>
      <c r="I1253">
        <v>2026</v>
      </c>
      <c r="J1253" t="s">
        <v>1554</v>
      </c>
      <c r="K1253" t="s">
        <v>1556</v>
      </c>
      <c r="L1253">
        <v>1250842</v>
      </c>
      <c r="M1253">
        <v>1059904</v>
      </c>
      <c r="N1253">
        <v>190938</v>
      </c>
      <c r="O1253">
        <v>25</v>
      </c>
      <c r="P1253" t="str">
        <f t="shared" si="39"/>
        <v>young</v>
      </c>
      <c r="Q1253" t="s">
        <v>1559</v>
      </c>
      <c r="R1253" t="s">
        <v>1561</v>
      </c>
      <c r="S1253" t="s">
        <v>1567</v>
      </c>
      <c r="T1253">
        <v>961339</v>
      </c>
      <c r="U1253">
        <v>3</v>
      </c>
      <c r="V1253" t="s">
        <v>1583</v>
      </c>
      <c r="W1253" t="s">
        <v>1593</v>
      </c>
      <c r="X1253">
        <v>15.26</v>
      </c>
    </row>
    <row r="1254" spans="1:24" x14ac:dyDescent="0.25">
      <c r="A1254" t="s">
        <v>1274</v>
      </c>
      <c r="B1254" s="4">
        <v>46055</v>
      </c>
      <c r="C1254" s="4" t="str">
        <f t="shared" si="38"/>
        <v>Feb</v>
      </c>
      <c r="D1254" t="s">
        <v>1522</v>
      </c>
      <c r="E1254" t="s">
        <v>1525</v>
      </c>
      <c r="F1254" t="s">
        <v>1532</v>
      </c>
      <c r="G1254" t="s">
        <v>1543</v>
      </c>
      <c r="H1254" t="s">
        <v>1550</v>
      </c>
      <c r="I1254">
        <v>2025</v>
      </c>
      <c r="J1254" t="s">
        <v>1554</v>
      </c>
      <c r="K1254" t="s">
        <v>1557</v>
      </c>
      <c r="L1254">
        <v>1212528</v>
      </c>
      <c r="M1254">
        <v>1172112</v>
      </c>
      <c r="N1254">
        <v>40416</v>
      </c>
      <c r="O1254">
        <v>45</v>
      </c>
      <c r="P1254" t="str">
        <f t="shared" si="39"/>
        <v>adult</v>
      </c>
      <c r="Q1254" t="s">
        <v>1558</v>
      </c>
      <c r="R1254" t="s">
        <v>1562</v>
      </c>
      <c r="S1254" t="s">
        <v>1570</v>
      </c>
      <c r="T1254">
        <v>827165</v>
      </c>
      <c r="U1254">
        <v>1</v>
      </c>
      <c r="V1254" t="s">
        <v>1589</v>
      </c>
      <c r="W1254" t="s">
        <v>1591</v>
      </c>
      <c r="X1254">
        <v>3.33</v>
      </c>
    </row>
    <row r="1255" spans="1:24" x14ac:dyDescent="0.25">
      <c r="A1255" t="s">
        <v>1275</v>
      </c>
      <c r="B1255" s="4">
        <v>46226</v>
      </c>
      <c r="C1255" s="4" t="str">
        <f t="shared" si="38"/>
        <v>Jul</v>
      </c>
      <c r="D1255" t="s">
        <v>1522</v>
      </c>
      <c r="E1255" t="s">
        <v>1523</v>
      </c>
      <c r="F1255" t="s">
        <v>1536</v>
      </c>
      <c r="G1255" t="s">
        <v>1541</v>
      </c>
      <c r="H1255" t="s">
        <v>1550</v>
      </c>
      <c r="I1255">
        <v>2023</v>
      </c>
      <c r="J1255" t="s">
        <v>1553</v>
      </c>
      <c r="K1255" t="s">
        <v>1557</v>
      </c>
      <c r="L1255">
        <v>1385454</v>
      </c>
      <c r="M1255">
        <v>1252499</v>
      </c>
      <c r="N1255">
        <v>132955</v>
      </c>
      <c r="O1255">
        <v>47</v>
      </c>
      <c r="P1255" t="str">
        <f t="shared" si="39"/>
        <v>adult</v>
      </c>
      <c r="Q1255" t="s">
        <v>1558</v>
      </c>
      <c r="R1255" t="s">
        <v>1564</v>
      </c>
      <c r="S1255" t="s">
        <v>1567</v>
      </c>
      <c r="T1255">
        <v>414735</v>
      </c>
      <c r="U1255">
        <v>4</v>
      </c>
      <c r="V1255" t="s">
        <v>1587</v>
      </c>
      <c r="W1255" t="s">
        <v>1594</v>
      </c>
      <c r="X1255">
        <v>9.6</v>
      </c>
    </row>
    <row r="1256" spans="1:24" x14ac:dyDescent="0.25">
      <c r="A1256" t="s">
        <v>1276</v>
      </c>
      <c r="B1256" s="4">
        <v>46204</v>
      </c>
      <c r="C1256" s="4" t="str">
        <f t="shared" si="38"/>
        <v>Jul</v>
      </c>
      <c r="D1256" t="s">
        <v>1522</v>
      </c>
      <c r="E1256" t="s">
        <v>1526</v>
      </c>
      <c r="F1256" t="s">
        <v>1532</v>
      </c>
      <c r="G1256" t="s">
        <v>1547</v>
      </c>
      <c r="H1256" t="s">
        <v>4</v>
      </c>
      <c r="I1256">
        <v>2024</v>
      </c>
      <c r="J1256" t="s">
        <v>1554</v>
      </c>
      <c r="K1256" t="s">
        <v>1557</v>
      </c>
      <c r="L1256">
        <v>1903189</v>
      </c>
      <c r="M1256">
        <v>1625193</v>
      </c>
      <c r="N1256">
        <v>277996</v>
      </c>
      <c r="O1256">
        <v>24</v>
      </c>
      <c r="P1256" t="str">
        <f t="shared" si="39"/>
        <v>young</v>
      </c>
      <c r="Q1256" t="s">
        <v>1558</v>
      </c>
      <c r="R1256" t="s">
        <v>1566</v>
      </c>
      <c r="S1256" t="s">
        <v>1567</v>
      </c>
      <c r="T1256">
        <v>1733190</v>
      </c>
      <c r="U1256">
        <v>4</v>
      </c>
      <c r="V1256" t="s">
        <v>1587</v>
      </c>
      <c r="W1256" t="s">
        <v>1594</v>
      </c>
      <c r="X1256">
        <v>14.61</v>
      </c>
    </row>
    <row r="1257" spans="1:24" x14ac:dyDescent="0.25">
      <c r="A1257" t="s">
        <v>1277</v>
      </c>
      <c r="B1257" s="4">
        <v>45946</v>
      </c>
      <c r="C1257" s="4" t="str">
        <f t="shared" si="38"/>
        <v>Oct</v>
      </c>
      <c r="D1257" t="s">
        <v>1522</v>
      </c>
      <c r="E1257" t="s">
        <v>1524</v>
      </c>
      <c r="F1257" t="s">
        <v>1528</v>
      </c>
      <c r="G1257" t="s">
        <v>1539</v>
      </c>
      <c r="H1257" t="s">
        <v>1550</v>
      </c>
      <c r="I1257">
        <v>2024</v>
      </c>
      <c r="J1257" t="s">
        <v>1554</v>
      </c>
      <c r="K1257" t="s">
        <v>1556</v>
      </c>
      <c r="L1257">
        <v>1645967</v>
      </c>
      <c r="M1257">
        <v>1459008</v>
      </c>
      <c r="N1257">
        <v>186959</v>
      </c>
      <c r="O1257">
        <v>49</v>
      </c>
      <c r="P1257" t="str">
        <f t="shared" si="39"/>
        <v>adult</v>
      </c>
      <c r="Q1257" t="s">
        <v>1558</v>
      </c>
      <c r="R1257" t="s">
        <v>1561</v>
      </c>
      <c r="S1257" t="s">
        <v>1567</v>
      </c>
      <c r="T1257">
        <v>1530920</v>
      </c>
      <c r="U1257">
        <v>3</v>
      </c>
      <c r="V1257" t="s">
        <v>1574</v>
      </c>
      <c r="W1257" t="s">
        <v>1593</v>
      </c>
      <c r="X1257">
        <v>11.36</v>
      </c>
    </row>
    <row r="1258" spans="1:24" x14ac:dyDescent="0.25">
      <c r="A1258" t="s">
        <v>1278</v>
      </c>
      <c r="B1258" s="4">
        <v>45725</v>
      </c>
      <c r="C1258" s="4" t="str">
        <f t="shared" si="38"/>
        <v>Mar</v>
      </c>
      <c r="D1258" t="s">
        <v>1522</v>
      </c>
      <c r="E1258" t="s">
        <v>1526</v>
      </c>
      <c r="F1258" t="s">
        <v>1530</v>
      </c>
      <c r="G1258" t="s">
        <v>1543</v>
      </c>
      <c r="H1258" t="s">
        <v>1551</v>
      </c>
      <c r="I1258">
        <v>2024</v>
      </c>
      <c r="J1258" t="s">
        <v>1554</v>
      </c>
      <c r="K1258" t="s">
        <v>1557</v>
      </c>
      <c r="L1258">
        <v>802756</v>
      </c>
      <c r="M1258">
        <v>752656</v>
      </c>
      <c r="N1258">
        <v>50100</v>
      </c>
      <c r="O1258">
        <v>52</v>
      </c>
      <c r="P1258" t="str">
        <f t="shared" si="39"/>
        <v>senior</v>
      </c>
      <c r="Q1258" t="s">
        <v>1558</v>
      </c>
      <c r="R1258" t="s">
        <v>1562</v>
      </c>
      <c r="S1258" t="s">
        <v>1568</v>
      </c>
      <c r="T1258">
        <v>925116</v>
      </c>
      <c r="U1258">
        <v>2</v>
      </c>
      <c r="V1258" t="s">
        <v>1588</v>
      </c>
      <c r="W1258" t="s">
        <v>1591</v>
      </c>
      <c r="X1258">
        <v>6.24</v>
      </c>
    </row>
    <row r="1259" spans="1:24" x14ac:dyDescent="0.25">
      <c r="A1259" t="s">
        <v>1279</v>
      </c>
      <c r="B1259" s="4">
        <v>45855</v>
      </c>
      <c r="C1259" s="4" t="str">
        <f t="shared" si="38"/>
        <v>Jul</v>
      </c>
      <c r="D1259" t="s">
        <v>1522</v>
      </c>
      <c r="E1259" t="s">
        <v>1525</v>
      </c>
      <c r="F1259" t="s">
        <v>1533</v>
      </c>
      <c r="G1259" t="s">
        <v>1538</v>
      </c>
      <c r="H1259" t="s">
        <v>4</v>
      </c>
      <c r="I1259">
        <v>2023</v>
      </c>
      <c r="J1259" t="s">
        <v>1554</v>
      </c>
      <c r="K1259" t="s">
        <v>1557</v>
      </c>
      <c r="L1259">
        <v>1664391</v>
      </c>
      <c r="M1259">
        <v>1436124</v>
      </c>
      <c r="N1259">
        <v>228267</v>
      </c>
      <c r="O1259">
        <v>65</v>
      </c>
      <c r="P1259" t="str">
        <f t="shared" si="39"/>
        <v>senior</v>
      </c>
      <c r="Q1259" t="s">
        <v>1558</v>
      </c>
      <c r="R1259" t="s">
        <v>1565</v>
      </c>
      <c r="S1259" t="s">
        <v>1568</v>
      </c>
      <c r="T1259">
        <v>142111</v>
      </c>
      <c r="U1259">
        <v>4</v>
      </c>
      <c r="V1259" t="s">
        <v>1579</v>
      </c>
      <c r="W1259" t="s">
        <v>1594</v>
      </c>
      <c r="X1259">
        <v>13.71</v>
      </c>
    </row>
    <row r="1260" spans="1:24" x14ac:dyDescent="0.25">
      <c r="A1260" t="s">
        <v>1280</v>
      </c>
      <c r="B1260" s="4">
        <v>45968</v>
      </c>
      <c r="C1260" s="4" t="str">
        <f t="shared" si="38"/>
        <v>Nov</v>
      </c>
      <c r="D1260" t="s">
        <v>1522</v>
      </c>
      <c r="E1260" t="s">
        <v>1525</v>
      </c>
      <c r="F1260" t="s">
        <v>1535</v>
      </c>
      <c r="G1260" t="s">
        <v>1547</v>
      </c>
      <c r="H1260" t="s">
        <v>1551</v>
      </c>
      <c r="I1260">
        <v>2023</v>
      </c>
      <c r="J1260" t="s">
        <v>1554</v>
      </c>
      <c r="K1260" t="s">
        <v>1556</v>
      </c>
      <c r="L1260">
        <v>1073952</v>
      </c>
      <c r="M1260">
        <v>982069</v>
      </c>
      <c r="N1260">
        <v>91883</v>
      </c>
      <c r="O1260">
        <v>34</v>
      </c>
      <c r="P1260" t="str">
        <f t="shared" si="39"/>
        <v>adult</v>
      </c>
      <c r="Q1260" t="s">
        <v>1559</v>
      </c>
      <c r="R1260" t="s">
        <v>1562</v>
      </c>
      <c r="S1260" t="s">
        <v>1568</v>
      </c>
      <c r="T1260">
        <v>1169635</v>
      </c>
      <c r="U1260">
        <v>4</v>
      </c>
      <c r="V1260" t="s">
        <v>1583</v>
      </c>
      <c r="W1260" t="s">
        <v>1593</v>
      </c>
      <c r="X1260">
        <v>8.56</v>
      </c>
    </row>
    <row r="1261" spans="1:24" x14ac:dyDescent="0.25">
      <c r="A1261" t="s">
        <v>1281</v>
      </c>
      <c r="B1261" s="4">
        <v>46234</v>
      </c>
      <c r="C1261" s="4" t="str">
        <f t="shared" si="38"/>
        <v>Jul</v>
      </c>
      <c r="D1261" t="s">
        <v>1522</v>
      </c>
      <c r="E1261" t="s">
        <v>1526</v>
      </c>
      <c r="F1261" t="s">
        <v>1532</v>
      </c>
      <c r="G1261" t="s">
        <v>1543</v>
      </c>
      <c r="H1261" t="s">
        <v>1551</v>
      </c>
      <c r="I1261">
        <v>2024</v>
      </c>
      <c r="J1261" t="s">
        <v>1554</v>
      </c>
      <c r="K1261" t="s">
        <v>1557</v>
      </c>
      <c r="L1261">
        <v>1017420</v>
      </c>
      <c r="M1261">
        <v>903521</v>
      </c>
      <c r="N1261">
        <v>113899</v>
      </c>
      <c r="O1261">
        <v>44</v>
      </c>
      <c r="P1261" t="str">
        <f t="shared" si="39"/>
        <v>adult</v>
      </c>
      <c r="Q1261" t="s">
        <v>1558</v>
      </c>
      <c r="R1261" t="s">
        <v>1566</v>
      </c>
      <c r="S1261" t="s">
        <v>1568</v>
      </c>
      <c r="T1261">
        <v>1827888</v>
      </c>
      <c r="U1261">
        <v>2</v>
      </c>
      <c r="V1261" t="s">
        <v>1587</v>
      </c>
      <c r="W1261" t="s">
        <v>1594</v>
      </c>
      <c r="X1261">
        <v>11.19</v>
      </c>
    </row>
    <row r="1262" spans="1:24" x14ac:dyDescent="0.25">
      <c r="A1262" t="s">
        <v>1282</v>
      </c>
      <c r="B1262" s="4">
        <v>46211</v>
      </c>
      <c r="C1262" s="4" t="str">
        <f t="shared" si="38"/>
        <v>Jul</v>
      </c>
      <c r="D1262" t="s">
        <v>1522</v>
      </c>
      <c r="E1262" t="s">
        <v>1525</v>
      </c>
      <c r="F1262" t="s">
        <v>1533</v>
      </c>
      <c r="G1262" t="s">
        <v>1544</v>
      </c>
      <c r="H1262" t="s">
        <v>1552</v>
      </c>
      <c r="I1262">
        <v>2026</v>
      </c>
      <c r="J1262" t="s">
        <v>1555</v>
      </c>
      <c r="K1262" t="s">
        <v>1556</v>
      </c>
      <c r="L1262">
        <v>1940424</v>
      </c>
      <c r="M1262">
        <v>1664586</v>
      </c>
      <c r="N1262">
        <v>275838</v>
      </c>
      <c r="O1262">
        <v>57</v>
      </c>
      <c r="P1262" t="str">
        <f t="shared" si="39"/>
        <v>senior</v>
      </c>
      <c r="Q1262" t="s">
        <v>1558</v>
      </c>
      <c r="R1262" t="s">
        <v>1565</v>
      </c>
      <c r="S1262" t="s">
        <v>1570</v>
      </c>
      <c r="T1262">
        <v>996242</v>
      </c>
      <c r="U1262">
        <v>3</v>
      </c>
      <c r="V1262" t="s">
        <v>1587</v>
      </c>
      <c r="W1262" t="s">
        <v>1594</v>
      </c>
      <c r="X1262">
        <v>14.22</v>
      </c>
    </row>
    <row r="1263" spans="1:24" x14ac:dyDescent="0.25">
      <c r="A1263" t="s">
        <v>1283</v>
      </c>
      <c r="B1263" s="4">
        <v>46265</v>
      </c>
      <c r="C1263" s="4" t="str">
        <f t="shared" si="38"/>
        <v>Aug</v>
      </c>
      <c r="D1263" t="s">
        <v>1522</v>
      </c>
      <c r="E1263" t="s">
        <v>1523</v>
      </c>
      <c r="F1263" t="s">
        <v>1528</v>
      </c>
      <c r="G1263" t="s">
        <v>1546</v>
      </c>
      <c r="H1263" t="s">
        <v>1550</v>
      </c>
      <c r="I1263">
        <v>2026</v>
      </c>
      <c r="J1263" t="s">
        <v>1554</v>
      </c>
      <c r="K1263" t="s">
        <v>1556</v>
      </c>
      <c r="L1263">
        <v>1654178</v>
      </c>
      <c r="M1263">
        <v>1421222</v>
      </c>
      <c r="N1263">
        <v>232956</v>
      </c>
      <c r="O1263">
        <v>50</v>
      </c>
      <c r="P1263" t="str">
        <f t="shared" si="39"/>
        <v>adult</v>
      </c>
      <c r="Q1263" t="s">
        <v>1559</v>
      </c>
      <c r="R1263" t="s">
        <v>1561</v>
      </c>
      <c r="S1263" t="s">
        <v>1568</v>
      </c>
      <c r="T1263">
        <v>2028097</v>
      </c>
      <c r="U1263">
        <v>3</v>
      </c>
      <c r="V1263" t="s">
        <v>1576</v>
      </c>
      <c r="W1263" t="s">
        <v>1594</v>
      </c>
      <c r="X1263">
        <v>14.08</v>
      </c>
    </row>
    <row r="1264" spans="1:24" x14ac:dyDescent="0.25">
      <c r="A1264" t="s">
        <v>1284</v>
      </c>
      <c r="B1264" s="4">
        <v>46000</v>
      </c>
      <c r="C1264" s="4" t="str">
        <f t="shared" si="38"/>
        <v>Dec</v>
      </c>
      <c r="D1264" t="s">
        <v>1522</v>
      </c>
      <c r="E1264" t="s">
        <v>1527</v>
      </c>
      <c r="F1264" t="s">
        <v>1528</v>
      </c>
      <c r="G1264" t="s">
        <v>1541</v>
      </c>
      <c r="H1264" t="s">
        <v>4</v>
      </c>
      <c r="I1264">
        <v>2025</v>
      </c>
      <c r="J1264" t="s">
        <v>1554</v>
      </c>
      <c r="K1264" t="s">
        <v>1557</v>
      </c>
      <c r="L1264">
        <v>1332313</v>
      </c>
      <c r="M1264">
        <v>1151750</v>
      </c>
      <c r="N1264">
        <v>180563</v>
      </c>
      <c r="O1264">
        <v>55</v>
      </c>
      <c r="P1264" t="str">
        <f t="shared" si="39"/>
        <v>senior</v>
      </c>
      <c r="Q1264" t="s">
        <v>1558</v>
      </c>
      <c r="R1264" t="s">
        <v>1566</v>
      </c>
      <c r="S1264" t="s">
        <v>1570</v>
      </c>
      <c r="T1264">
        <v>1772129</v>
      </c>
      <c r="U1264">
        <v>1</v>
      </c>
      <c r="V1264" t="s">
        <v>1575</v>
      </c>
      <c r="W1264" t="s">
        <v>1593</v>
      </c>
      <c r="X1264">
        <v>13.55</v>
      </c>
    </row>
    <row r="1265" spans="1:24" x14ac:dyDescent="0.25">
      <c r="A1265" t="s">
        <v>1285</v>
      </c>
      <c r="B1265" s="4">
        <v>46260</v>
      </c>
      <c r="C1265" s="4" t="str">
        <f t="shared" si="38"/>
        <v>Aug</v>
      </c>
      <c r="D1265" t="s">
        <v>1522</v>
      </c>
      <c r="E1265" t="s">
        <v>1526</v>
      </c>
      <c r="F1265" t="s">
        <v>1535</v>
      </c>
      <c r="G1265" t="s">
        <v>1538</v>
      </c>
      <c r="H1265" t="s">
        <v>1551</v>
      </c>
      <c r="I1265">
        <v>2022</v>
      </c>
      <c r="J1265" t="s">
        <v>1554</v>
      </c>
      <c r="K1265" t="s">
        <v>1557</v>
      </c>
      <c r="L1265">
        <v>1090673</v>
      </c>
      <c r="M1265">
        <v>901486</v>
      </c>
      <c r="N1265">
        <v>189187</v>
      </c>
      <c r="O1265">
        <v>47</v>
      </c>
      <c r="P1265" t="str">
        <f t="shared" si="39"/>
        <v>adult</v>
      </c>
      <c r="Q1265" t="s">
        <v>1558</v>
      </c>
      <c r="R1265" t="s">
        <v>1563</v>
      </c>
      <c r="S1265" t="s">
        <v>1568</v>
      </c>
      <c r="T1265">
        <v>1343246</v>
      </c>
      <c r="U1265">
        <v>3</v>
      </c>
      <c r="V1265" t="s">
        <v>1576</v>
      </c>
      <c r="W1265" t="s">
        <v>1594</v>
      </c>
      <c r="X1265">
        <v>17.350000000000001</v>
      </c>
    </row>
    <row r="1266" spans="1:24" x14ac:dyDescent="0.25">
      <c r="A1266" t="s">
        <v>1286</v>
      </c>
      <c r="B1266" s="4">
        <v>46209</v>
      </c>
      <c r="C1266" s="4" t="str">
        <f t="shared" si="38"/>
        <v>Jul</v>
      </c>
      <c r="D1266" t="s">
        <v>1522</v>
      </c>
      <c r="E1266" t="s">
        <v>1523</v>
      </c>
      <c r="F1266" t="s">
        <v>1534</v>
      </c>
      <c r="G1266" t="s">
        <v>1539</v>
      </c>
      <c r="H1266" t="s">
        <v>4</v>
      </c>
      <c r="I1266">
        <v>2025</v>
      </c>
      <c r="J1266" t="s">
        <v>1554</v>
      </c>
      <c r="K1266" t="s">
        <v>1557</v>
      </c>
      <c r="L1266">
        <v>1447382</v>
      </c>
      <c r="M1266">
        <v>1242840</v>
      </c>
      <c r="N1266">
        <v>204542</v>
      </c>
      <c r="O1266">
        <v>58</v>
      </c>
      <c r="P1266" t="str">
        <f t="shared" si="39"/>
        <v>senior</v>
      </c>
      <c r="Q1266" t="s">
        <v>1559</v>
      </c>
      <c r="R1266" t="s">
        <v>1564</v>
      </c>
      <c r="S1266" t="s">
        <v>1567</v>
      </c>
      <c r="T1266">
        <v>1827942</v>
      </c>
      <c r="U1266">
        <v>1</v>
      </c>
      <c r="V1266" t="s">
        <v>1587</v>
      </c>
      <c r="W1266" t="s">
        <v>1594</v>
      </c>
      <c r="X1266">
        <v>14.13</v>
      </c>
    </row>
    <row r="1267" spans="1:24" x14ac:dyDescent="0.25">
      <c r="A1267" t="s">
        <v>1287</v>
      </c>
      <c r="B1267" s="4">
        <v>45831</v>
      </c>
      <c r="C1267" s="4" t="str">
        <f t="shared" si="38"/>
        <v>Jun</v>
      </c>
      <c r="D1267" t="s">
        <v>1522</v>
      </c>
      <c r="E1267" t="s">
        <v>1524</v>
      </c>
      <c r="F1267" t="s">
        <v>1537</v>
      </c>
      <c r="G1267" t="s">
        <v>1543</v>
      </c>
      <c r="H1267" t="s">
        <v>4</v>
      </c>
      <c r="I1267">
        <v>2026</v>
      </c>
      <c r="J1267" t="s">
        <v>1554</v>
      </c>
      <c r="K1267" t="s">
        <v>1557</v>
      </c>
      <c r="L1267">
        <v>1437768</v>
      </c>
      <c r="M1267">
        <v>1351603</v>
      </c>
      <c r="N1267">
        <v>86165</v>
      </c>
      <c r="O1267">
        <v>28</v>
      </c>
      <c r="P1267" t="str">
        <f t="shared" si="39"/>
        <v>young</v>
      </c>
      <c r="Q1267" t="s">
        <v>1558</v>
      </c>
      <c r="R1267" t="s">
        <v>1563</v>
      </c>
      <c r="S1267" t="s">
        <v>1567</v>
      </c>
      <c r="T1267">
        <v>670121</v>
      </c>
      <c r="U1267">
        <v>5</v>
      </c>
      <c r="V1267" t="s">
        <v>1584</v>
      </c>
      <c r="W1267" t="s">
        <v>1592</v>
      </c>
      <c r="X1267">
        <v>5.99</v>
      </c>
    </row>
    <row r="1268" spans="1:24" x14ac:dyDescent="0.25">
      <c r="A1268" t="s">
        <v>1288</v>
      </c>
      <c r="B1268" s="4">
        <v>45974</v>
      </c>
      <c r="C1268" s="4" t="str">
        <f t="shared" si="38"/>
        <v>Nov</v>
      </c>
      <c r="D1268" t="s">
        <v>1522</v>
      </c>
      <c r="E1268" t="s">
        <v>1525</v>
      </c>
      <c r="F1268" t="s">
        <v>1537</v>
      </c>
      <c r="G1268" t="s">
        <v>1548</v>
      </c>
      <c r="H1268" t="s">
        <v>1550</v>
      </c>
      <c r="I1268">
        <v>2024</v>
      </c>
      <c r="J1268" t="s">
        <v>1554</v>
      </c>
      <c r="K1268" t="s">
        <v>1556</v>
      </c>
      <c r="L1268">
        <v>1565802</v>
      </c>
      <c r="M1268">
        <v>1308826</v>
      </c>
      <c r="N1268">
        <v>256976</v>
      </c>
      <c r="O1268">
        <v>31</v>
      </c>
      <c r="P1268" t="str">
        <f t="shared" si="39"/>
        <v>adult</v>
      </c>
      <c r="Q1268" t="s">
        <v>1558</v>
      </c>
      <c r="R1268" t="s">
        <v>1566</v>
      </c>
      <c r="S1268" t="s">
        <v>1567</v>
      </c>
      <c r="T1268">
        <v>35025</v>
      </c>
      <c r="U1268">
        <v>5</v>
      </c>
      <c r="V1268" t="s">
        <v>1583</v>
      </c>
      <c r="W1268" t="s">
        <v>1593</v>
      </c>
      <c r="X1268">
        <v>16.41</v>
      </c>
    </row>
    <row r="1269" spans="1:24" x14ac:dyDescent="0.25">
      <c r="A1269" t="s">
        <v>1289</v>
      </c>
      <c r="B1269" s="4">
        <v>45957</v>
      </c>
      <c r="C1269" s="4" t="str">
        <f t="shared" si="38"/>
        <v>Oct</v>
      </c>
      <c r="D1269" t="s">
        <v>1522</v>
      </c>
      <c r="E1269" t="s">
        <v>1523</v>
      </c>
      <c r="F1269" t="s">
        <v>1533</v>
      </c>
      <c r="G1269" t="s">
        <v>1548</v>
      </c>
      <c r="H1269" t="s">
        <v>1551</v>
      </c>
      <c r="I1269">
        <v>2022</v>
      </c>
      <c r="J1269" t="s">
        <v>1554</v>
      </c>
      <c r="K1269" t="s">
        <v>1556</v>
      </c>
      <c r="L1269">
        <v>890293</v>
      </c>
      <c r="M1269">
        <v>866340</v>
      </c>
      <c r="N1269">
        <v>23953</v>
      </c>
      <c r="O1269">
        <v>49</v>
      </c>
      <c r="P1269" t="str">
        <f t="shared" si="39"/>
        <v>adult</v>
      </c>
      <c r="Q1269" t="s">
        <v>1558</v>
      </c>
      <c r="R1269" t="s">
        <v>1565</v>
      </c>
      <c r="S1269" t="s">
        <v>1567</v>
      </c>
      <c r="T1269">
        <v>1649103</v>
      </c>
      <c r="U1269">
        <v>1</v>
      </c>
      <c r="V1269" t="s">
        <v>1574</v>
      </c>
      <c r="W1269" t="s">
        <v>1593</v>
      </c>
      <c r="X1269">
        <v>2.69</v>
      </c>
    </row>
    <row r="1270" spans="1:24" x14ac:dyDescent="0.25">
      <c r="A1270" t="s">
        <v>1290</v>
      </c>
      <c r="B1270" s="4">
        <v>46177</v>
      </c>
      <c r="C1270" s="4" t="str">
        <f t="shared" si="38"/>
        <v>Jun</v>
      </c>
      <c r="D1270" t="s">
        <v>1522</v>
      </c>
      <c r="E1270" t="s">
        <v>1524</v>
      </c>
      <c r="F1270" t="s">
        <v>1528</v>
      </c>
      <c r="G1270" t="s">
        <v>1546</v>
      </c>
      <c r="H1270" t="s">
        <v>1550</v>
      </c>
      <c r="I1270">
        <v>2024</v>
      </c>
      <c r="J1270" t="s">
        <v>1554</v>
      </c>
      <c r="K1270" t="s">
        <v>1557</v>
      </c>
      <c r="L1270">
        <v>1642090</v>
      </c>
      <c r="M1270">
        <v>1400451</v>
      </c>
      <c r="N1270">
        <v>241639</v>
      </c>
      <c r="O1270">
        <v>41</v>
      </c>
      <c r="P1270" t="str">
        <f t="shared" si="39"/>
        <v>adult</v>
      </c>
      <c r="Q1270" t="s">
        <v>1558</v>
      </c>
      <c r="R1270" t="s">
        <v>1563</v>
      </c>
      <c r="S1270" t="s">
        <v>1567</v>
      </c>
      <c r="T1270">
        <v>1592501</v>
      </c>
      <c r="U1270">
        <v>4</v>
      </c>
      <c r="V1270" t="s">
        <v>1582</v>
      </c>
      <c r="W1270" t="s">
        <v>1592</v>
      </c>
      <c r="X1270">
        <v>14.72</v>
      </c>
    </row>
    <row r="1271" spans="1:24" x14ac:dyDescent="0.25">
      <c r="A1271" t="s">
        <v>1291</v>
      </c>
      <c r="B1271" s="4">
        <v>46230</v>
      </c>
      <c r="C1271" s="4" t="str">
        <f t="shared" si="38"/>
        <v>Jul</v>
      </c>
      <c r="D1271" t="s">
        <v>1522</v>
      </c>
      <c r="E1271" t="s">
        <v>1526</v>
      </c>
      <c r="F1271" t="s">
        <v>1532</v>
      </c>
      <c r="G1271" t="s">
        <v>1544</v>
      </c>
      <c r="H1271" t="s">
        <v>4</v>
      </c>
      <c r="I1271">
        <v>2024</v>
      </c>
      <c r="J1271" t="s">
        <v>1554</v>
      </c>
      <c r="K1271" t="s">
        <v>1556</v>
      </c>
      <c r="L1271">
        <v>1887705</v>
      </c>
      <c r="M1271">
        <v>1560505</v>
      </c>
      <c r="N1271">
        <v>327200</v>
      </c>
      <c r="O1271">
        <v>35</v>
      </c>
      <c r="P1271" t="str">
        <f t="shared" si="39"/>
        <v>adult</v>
      </c>
      <c r="Q1271" t="s">
        <v>1559</v>
      </c>
      <c r="R1271" t="s">
        <v>1566</v>
      </c>
      <c r="S1271" t="s">
        <v>1570</v>
      </c>
      <c r="T1271">
        <v>1459285</v>
      </c>
      <c r="U1271">
        <v>1</v>
      </c>
      <c r="V1271" t="s">
        <v>1587</v>
      </c>
      <c r="W1271" t="s">
        <v>1594</v>
      </c>
      <c r="X1271">
        <v>17.329999999999998</v>
      </c>
    </row>
    <row r="1272" spans="1:24" x14ac:dyDescent="0.25">
      <c r="A1272" t="s">
        <v>1292</v>
      </c>
      <c r="B1272" s="4">
        <v>46067</v>
      </c>
      <c r="C1272" s="4" t="str">
        <f t="shared" si="38"/>
        <v>Feb</v>
      </c>
      <c r="D1272" t="s">
        <v>1522</v>
      </c>
      <c r="E1272" t="s">
        <v>1526</v>
      </c>
      <c r="F1272" t="s">
        <v>1537</v>
      </c>
      <c r="G1272" t="s">
        <v>1546</v>
      </c>
      <c r="H1272" t="s">
        <v>1551</v>
      </c>
      <c r="I1272">
        <v>2026</v>
      </c>
      <c r="J1272" t="s">
        <v>1554</v>
      </c>
      <c r="K1272" t="s">
        <v>1557</v>
      </c>
      <c r="L1272">
        <v>782377</v>
      </c>
      <c r="M1272">
        <v>704170</v>
      </c>
      <c r="N1272">
        <v>78207</v>
      </c>
      <c r="O1272">
        <v>43</v>
      </c>
      <c r="P1272" t="str">
        <f t="shared" si="39"/>
        <v>adult</v>
      </c>
      <c r="Q1272" t="s">
        <v>1559</v>
      </c>
      <c r="R1272" t="s">
        <v>1561</v>
      </c>
      <c r="S1272" t="s">
        <v>1570</v>
      </c>
      <c r="T1272">
        <v>1072342</v>
      </c>
      <c r="U1272">
        <v>1</v>
      </c>
      <c r="V1272" t="s">
        <v>1589</v>
      </c>
      <c r="W1272" t="s">
        <v>1591</v>
      </c>
      <c r="X1272">
        <v>10</v>
      </c>
    </row>
    <row r="1273" spans="1:24" x14ac:dyDescent="0.25">
      <c r="A1273" t="s">
        <v>1293</v>
      </c>
      <c r="B1273" s="4">
        <v>46106</v>
      </c>
      <c r="C1273" s="4" t="str">
        <f t="shared" si="38"/>
        <v>Mar</v>
      </c>
      <c r="D1273" t="s">
        <v>1522</v>
      </c>
      <c r="E1273" t="s">
        <v>1527</v>
      </c>
      <c r="F1273" t="s">
        <v>1532</v>
      </c>
      <c r="G1273" t="s">
        <v>1547</v>
      </c>
      <c r="H1273" t="s">
        <v>4</v>
      </c>
      <c r="I1273">
        <v>2026</v>
      </c>
      <c r="J1273" t="s">
        <v>1554</v>
      </c>
      <c r="K1273" t="s">
        <v>1557</v>
      </c>
      <c r="L1273">
        <v>1381395</v>
      </c>
      <c r="M1273">
        <v>1271758</v>
      </c>
      <c r="N1273">
        <v>109637</v>
      </c>
      <c r="O1273">
        <v>31</v>
      </c>
      <c r="P1273" t="str">
        <f t="shared" si="39"/>
        <v>adult</v>
      </c>
      <c r="Q1273" t="s">
        <v>1558</v>
      </c>
      <c r="R1273" t="s">
        <v>1565</v>
      </c>
      <c r="S1273" t="s">
        <v>1567</v>
      </c>
      <c r="T1273">
        <v>197543</v>
      </c>
      <c r="U1273">
        <v>3</v>
      </c>
      <c r="V1273" t="s">
        <v>1586</v>
      </c>
      <c r="W1273" t="s">
        <v>1591</v>
      </c>
      <c r="X1273">
        <v>7.94</v>
      </c>
    </row>
    <row r="1274" spans="1:24" x14ac:dyDescent="0.25">
      <c r="A1274" t="s">
        <v>1294</v>
      </c>
      <c r="B1274" s="4">
        <v>46186</v>
      </c>
      <c r="C1274" s="4" t="str">
        <f t="shared" si="38"/>
        <v>Jun</v>
      </c>
      <c r="D1274" t="s">
        <v>1522</v>
      </c>
      <c r="E1274" t="s">
        <v>1527</v>
      </c>
      <c r="F1274" t="s">
        <v>1535</v>
      </c>
      <c r="G1274" t="s">
        <v>1539</v>
      </c>
      <c r="H1274" t="s">
        <v>4</v>
      </c>
      <c r="I1274">
        <v>2023</v>
      </c>
      <c r="J1274" t="s">
        <v>1554</v>
      </c>
      <c r="K1274" t="s">
        <v>1557</v>
      </c>
      <c r="L1274">
        <v>1767843</v>
      </c>
      <c r="M1274">
        <v>1623718</v>
      </c>
      <c r="N1274">
        <v>144125</v>
      </c>
      <c r="O1274">
        <v>25</v>
      </c>
      <c r="P1274" t="str">
        <f t="shared" si="39"/>
        <v>young</v>
      </c>
      <c r="Q1274" t="s">
        <v>1559</v>
      </c>
      <c r="R1274" t="s">
        <v>1562</v>
      </c>
      <c r="S1274" t="s">
        <v>1567</v>
      </c>
      <c r="T1274">
        <v>1994499</v>
      </c>
      <c r="U1274">
        <v>5</v>
      </c>
      <c r="V1274" t="s">
        <v>1582</v>
      </c>
      <c r="W1274" t="s">
        <v>1592</v>
      </c>
      <c r="X1274">
        <v>8.15</v>
      </c>
    </row>
    <row r="1275" spans="1:24" x14ac:dyDescent="0.25">
      <c r="A1275" t="s">
        <v>1295</v>
      </c>
      <c r="B1275" s="4">
        <v>45810</v>
      </c>
      <c r="C1275" s="4" t="str">
        <f t="shared" si="38"/>
        <v>Jun</v>
      </c>
      <c r="D1275" t="s">
        <v>1522</v>
      </c>
      <c r="E1275" t="s">
        <v>1526</v>
      </c>
      <c r="F1275" t="s">
        <v>1532</v>
      </c>
      <c r="G1275" t="s">
        <v>1542</v>
      </c>
      <c r="H1275" t="s">
        <v>1551</v>
      </c>
      <c r="I1275">
        <v>2025</v>
      </c>
      <c r="J1275" t="s">
        <v>1554</v>
      </c>
      <c r="K1275" t="s">
        <v>1557</v>
      </c>
      <c r="L1275">
        <v>805634</v>
      </c>
      <c r="M1275">
        <v>771306</v>
      </c>
      <c r="N1275">
        <v>34328</v>
      </c>
      <c r="O1275">
        <v>42</v>
      </c>
      <c r="P1275" t="str">
        <f t="shared" si="39"/>
        <v>adult</v>
      </c>
      <c r="Q1275" t="s">
        <v>1559</v>
      </c>
      <c r="R1275" t="s">
        <v>1562</v>
      </c>
      <c r="S1275" t="s">
        <v>1570</v>
      </c>
      <c r="T1275">
        <v>1078167</v>
      </c>
      <c r="U1275">
        <v>4</v>
      </c>
      <c r="V1275" t="s">
        <v>1584</v>
      </c>
      <c r="W1275" t="s">
        <v>1592</v>
      </c>
      <c r="X1275">
        <v>4.26</v>
      </c>
    </row>
    <row r="1276" spans="1:24" x14ac:dyDescent="0.25">
      <c r="A1276" t="s">
        <v>1296</v>
      </c>
      <c r="B1276" s="4">
        <v>46016</v>
      </c>
      <c r="C1276" s="4" t="str">
        <f t="shared" si="38"/>
        <v>Dec</v>
      </c>
      <c r="D1276" t="s">
        <v>1522</v>
      </c>
      <c r="E1276" t="s">
        <v>1527</v>
      </c>
      <c r="F1276" t="s">
        <v>1528</v>
      </c>
      <c r="G1276" t="s">
        <v>1548</v>
      </c>
      <c r="H1276" t="s">
        <v>1552</v>
      </c>
      <c r="I1276">
        <v>2024</v>
      </c>
      <c r="J1276" t="s">
        <v>1555</v>
      </c>
      <c r="K1276" t="s">
        <v>1556</v>
      </c>
      <c r="L1276">
        <v>1856433</v>
      </c>
      <c r="M1276">
        <v>1729767</v>
      </c>
      <c r="N1276">
        <v>126666</v>
      </c>
      <c r="O1276">
        <v>21</v>
      </c>
      <c r="P1276" t="str">
        <f t="shared" si="39"/>
        <v>young</v>
      </c>
      <c r="Q1276" t="s">
        <v>1558</v>
      </c>
      <c r="R1276" t="s">
        <v>1563</v>
      </c>
      <c r="S1276" t="s">
        <v>1569</v>
      </c>
      <c r="T1276">
        <v>982928</v>
      </c>
      <c r="U1276">
        <v>3</v>
      </c>
      <c r="V1276" t="s">
        <v>1575</v>
      </c>
      <c r="W1276" t="s">
        <v>1593</v>
      </c>
      <c r="X1276">
        <v>6.82</v>
      </c>
    </row>
    <row r="1277" spans="1:24" x14ac:dyDescent="0.25">
      <c r="A1277" t="s">
        <v>1297</v>
      </c>
      <c r="B1277" s="4">
        <v>45759</v>
      </c>
      <c r="C1277" s="4" t="str">
        <f t="shared" si="38"/>
        <v>Apr</v>
      </c>
      <c r="D1277" t="s">
        <v>1522</v>
      </c>
      <c r="E1277" t="s">
        <v>1525</v>
      </c>
      <c r="F1277" t="s">
        <v>1528</v>
      </c>
      <c r="G1277" t="s">
        <v>1545</v>
      </c>
      <c r="H1277" t="s">
        <v>1550</v>
      </c>
      <c r="I1277">
        <v>2025</v>
      </c>
      <c r="J1277" t="s">
        <v>1554</v>
      </c>
      <c r="K1277" t="s">
        <v>1557</v>
      </c>
      <c r="L1277">
        <v>1576697</v>
      </c>
      <c r="M1277">
        <v>1392330</v>
      </c>
      <c r="N1277">
        <v>184367</v>
      </c>
      <c r="O1277">
        <v>55</v>
      </c>
      <c r="P1277" t="str">
        <f t="shared" si="39"/>
        <v>senior</v>
      </c>
      <c r="Q1277" t="s">
        <v>1559</v>
      </c>
      <c r="R1277" t="s">
        <v>1566</v>
      </c>
      <c r="S1277" t="s">
        <v>1570</v>
      </c>
      <c r="T1277">
        <v>1271962</v>
      </c>
      <c r="U1277">
        <v>5</v>
      </c>
      <c r="V1277" t="s">
        <v>1573</v>
      </c>
      <c r="W1277" t="s">
        <v>1592</v>
      </c>
      <c r="X1277">
        <v>11.69</v>
      </c>
    </row>
    <row r="1278" spans="1:24" x14ac:dyDescent="0.25">
      <c r="A1278" t="s">
        <v>1298</v>
      </c>
      <c r="B1278" s="4">
        <v>45902</v>
      </c>
      <c r="C1278" s="4" t="str">
        <f t="shared" si="38"/>
        <v>Sep</v>
      </c>
      <c r="D1278" t="s">
        <v>1522</v>
      </c>
      <c r="E1278" t="s">
        <v>1527</v>
      </c>
      <c r="F1278" t="s">
        <v>1532</v>
      </c>
      <c r="G1278" t="s">
        <v>1546</v>
      </c>
      <c r="H1278" t="s">
        <v>4</v>
      </c>
      <c r="I1278">
        <v>2026</v>
      </c>
      <c r="J1278" t="s">
        <v>1554</v>
      </c>
      <c r="K1278" t="s">
        <v>1556</v>
      </c>
      <c r="L1278">
        <v>1701863</v>
      </c>
      <c r="M1278">
        <v>1601852</v>
      </c>
      <c r="N1278">
        <v>100011</v>
      </c>
      <c r="O1278">
        <v>27</v>
      </c>
      <c r="P1278" t="str">
        <f t="shared" si="39"/>
        <v>young</v>
      </c>
      <c r="Q1278" t="s">
        <v>1559</v>
      </c>
      <c r="R1278" t="s">
        <v>1562</v>
      </c>
      <c r="S1278" t="s">
        <v>1567</v>
      </c>
      <c r="T1278">
        <v>953294</v>
      </c>
      <c r="U1278">
        <v>2</v>
      </c>
      <c r="V1278" t="s">
        <v>1577</v>
      </c>
      <c r="W1278" t="s">
        <v>1594</v>
      </c>
      <c r="X1278">
        <v>5.88</v>
      </c>
    </row>
    <row r="1279" spans="1:24" x14ac:dyDescent="0.25">
      <c r="A1279" t="s">
        <v>1299</v>
      </c>
      <c r="B1279" s="4">
        <v>45976</v>
      </c>
      <c r="C1279" s="4" t="str">
        <f t="shared" si="38"/>
        <v>Nov</v>
      </c>
      <c r="D1279" t="s">
        <v>1522</v>
      </c>
      <c r="E1279" t="s">
        <v>1525</v>
      </c>
      <c r="F1279" t="s">
        <v>1533</v>
      </c>
      <c r="G1279" t="s">
        <v>1544</v>
      </c>
      <c r="H1279" t="s">
        <v>4</v>
      </c>
      <c r="I1279">
        <v>2025</v>
      </c>
      <c r="J1279" t="s">
        <v>1554</v>
      </c>
      <c r="K1279" t="s">
        <v>1556</v>
      </c>
      <c r="L1279">
        <v>1375503</v>
      </c>
      <c r="M1279">
        <v>1267726</v>
      </c>
      <c r="N1279">
        <v>107777</v>
      </c>
      <c r="O1279">
        <v>53</v>
      </c>
      <c r="P1279" t="str">
        <f t="shared" si="39"/>
        <v>senior</v>
      </c>
      <c r="Q1279" t="s">
        <v>1559</v>
      </c>
      <c r="R1279" t="s">
        <v>1564</v>
      </c>
      <c r="S1279" t="s">
        <v>1568</v>
      </c>
      <c r="T1279">
        <v>1488755</v>
      </c>
      <c r="U1279">
        <v>5</v>
      </c>
      <c r="V1279" t="s">
        <v>1583</v>
      </c>
      <c r="W1279" t="s">
        <v>1593</v>
      </c>
      <c r="X1279">
        <v>7.84</v>
      </c>
    </row>
    <row r="1280" spans="1:24" x14ac:dyDescent="0.25">
      <c r="A1280" t="s">
        <v>1300</v>
      </c>
      <c r="B1280" s="4">
        <v>46235</v>
      </c>
      <c r="C1280" s="4" t="str">
        <f t="shared" si="38"/>
        <v>Aug</v>
      </c>
      <c r="D1280" t="s">
        <v>1522</v>
      </c>
      <c r="E1280" t="s">
        <v>1525</v>
      </c>
      <c r="F1280" t="s">
        <v>1528</v>
      </c>
      <c r="G1280" t="s">
        <v>1547</v>
      </c>
      <c r="H1280" t="s">
        <v>4</v>
      </c>
      <c r="I1280">
        <v>2024</v>
      </c>
      <c r="J1280" t="s">
        <v>1554</v>
      </c>
      <c r="K1280" t="s">
        <v>1556</v>
      </c>
      <c r="L1280">
        <v>1707036</v>
      </c>
      <c r="M1280">
        <v>1558072</v>
      </c>
      <c r="N1280">
        <v>148964</v>
      </c>
      <c r="O1280">
        <v>55</v>
      </c>
      <c r="P1280" t="str">
        <f t="shared" si="39"/>
        <v>senior</v>
      </c>
      <c r="Q1280" t="s">
        <v>1559</v>
      </c>
      <c r="R1280" t="s">
        <v>1563</v>
      </c>
      <c r="S1280" t="s">
        <v>1568</v>
      </c>
      <c r="T1280">
        <v>1514963</v>
      </c>
      <c r="U1280">
        <v>5</v>
      </c>
      <c r="V1280" t="s">
        <v>1576</v>
      </c>
      <c r="W1280" t="s">
        <v>1594</v>
      </c>
      <c r="X1280">
        <v>8.73</v>
      </c>
    </row>
    <row r="1281" spans="1:24" x14ac:dyDescent="0.25">
      <c r="A1281" t="s">
        <v>1301</v>
      </c>
      <c r="B1281" s="4">
        <v>45697</v>
      </c>
      <c r="C1281" s="4" t="str">
        <f t="shared" si="38"/>
        <v>Feb</v>
      </c>
      <c r="D1281" t="s">
        <v>1522</v>
      </c>
      <c r="E1281" t="s">
        <v>1526</v>
      </c>
      <c r="F1281" t="s">
        <v>1537</v>
      </c>
      <c r="G1281" t="s">
        <v>1544</v>
      </c>
      <c r="H1281" t="s">
        <v>1550</v>
      </c>
      <c r="I1281">
        <v>2022</v>
      </c>
      <c r="J1281" t="s">
        <v>1554</v>
      </c>
      <c r="K1281" t="s">
        <v>1556</v>
      </c>
      <c r="L1281">
        <v>1452603</v>
      </c>
      <c r="M1281">
        <v>1293278</v>
      </c>
      <c r="N1281">
        <v>159325</v>
      </c>
      <c r="O1281">
        <v>64</v>
      </c>
      <c r="P1281" t="str">
        <f t="shared" si="39"/>
        <v>senior</v>
      </c>
      <c r="Q1281" t="s">
        <v>1558</v>
      </c>
      <c r="R1281" t="s">
        <v>1563</v>
      </c>
      <c r="S1281" t="s">
        <v>1568</v>
      </c>
      <c r="T1281">
        <v>547551</v>
      </c>
      <c r="U1281">
        <v>4</v>
      </c>
      <c r="V1281" t="s">
        <v>1578</v>
      </c>
      <c r="W1281" t="s">
        <v>1591</v>
      </c>
      <c r="X1281">
        <v>10.97</v>
      </c>
    </row>
    <row r="1282" spans="1:24" x14ac:dyDescent="0.25">
      <c r="A1282" t="s">
        <v>1302</v>
      </c>
      <c r="B1282" s="4">
        <v>46065</v>
      </c>
      <c r="C1282" s="4" t="str">
        <f t="shared" si="38"/>
        <v>Feb</v>
      </c>
      <c r="D1282" t="s">
        <v>1522</v>
      </c>
      <c r="E1282" t="s">
        <v>1526</v>
      </c>
      <c r="F1282" t="s">
        <v>1537</v>
      </c>
      <c r="G1282" t="s">
        <v>1546</v>
      </c>
      <c r="H1282" t="s">
        <v>1552</v>
      </c>
      <c r="I1282">
        <v>2026</v>
      </c>
      <c r="J1282" t="s">
        <v>1555</v>
      </c>
      <c r="K1282" t="s">
        <v>1556</v>
      </c>
      <c r="L1282">
        <v>2045024</v>
      </c>
      <c r="M1282">
        <v>1711521</v>
      </c>
      <c r="N1282">
        <v>333503</v>
      </c>
      <c r="O1282">
        <v>46</v>
      </c>
      <c r="P1282" t="str">
        <f t="shared" si="39"/>
        <v>adult</v>
      </c>
      <c r="Q1282" t="s">
        <v>1558</v>
      </c>
      <c r="R1282" t="s">
        <v>1561</v>
      </c>
      <c r="S1282" t="s">
        <v>1568</v>
      </c>
      <c r="T1282">
        <v>1763893</v>
      </c>
      <c r="U1282">
        <v>5</v>
      </c>
      <c r="V1282" t="s">
        <v>1589</v>
      </c>
      <c r="W1282" t="s">
        <v>1591</v>
      </c>
      <c r="X1282">
        <v>16.309999999999999</v>
      </c>
    </row>
    <row r="1283" spans="1:24" x14ac:dyDescent="0.25">
      <c r="A1283" t="s">
        <v>1303</v>
      </c>
      <c r="B1283" s="4">
        <v>46225</v>
      </c>
      <c r="C1283" s="4" t="str">
        <f t="shared" ref="C1283:C1346" si="40">TEXT(B1283,"MMM")</f>
        <v>Jul</v>
      </c>
      <c r="D1283" t="s">
        <v>1522</v>
      </c>
      <c r="E1283" t="s">
        <v>1524</v>
      </c>
      <c r="F1283" t="s">
        <v>1531</v>
      </c>
      <c r="G1283" t="s">
        <v>1544</v>
      </c>
      <c r="H1283" t="s">
        <v>1550</v>
      </c>
      <c r="I1283">
        <v>2026</v>
      </c>
      <c r="J1283" t="s">
        <v>1554</v>
      </c>
      <c r="K1283" t="s">
        <v>1557</v>
      </c>
      <c r="L1283">
        <v>1210311</v>
      </c>
      <c r="M1283">
        <v>1087720</v>
      </c>
      <c r="N1283">
        <v>122591</v>
      </c>
      <c r="O1283">
        <v>24</v>
      </c>
      <c r="P1283" t="str">
        <f t="shared" ref="P1283:P1346" si="41">IF(O1283&gt;50,"senior",IF(O1283&gt;30,"adult","young"))</f>
        <v>young</v>
      </c>
      <c r="Q1283" t="s">
        <v>1558</v>
      </c>
      <c r="R1283" t="s">
        <v>1562</v>
      </c>
      <c r="S1283" t="s">
        <v>1567</v>
      </c>
      <c r="T1283">
        <v>467851</v>
      </c>
      <c r="U1283">
        <v>3</v>
      </c>
      <c r="V1283" t="s">
        <v>1587</v>
      </c>
      <c r="W1283" t="s">
        <v>1594</v>
      </c>
      <c r="X1283">
        <v>10.130000000000001</v>
      </c>
    </row>
    <row r="1284" spans="1:24" x14ac:dyDescent="0.25">
      <c r="A1284" t="s">
        <v>1304</v>
      </c>
      <c r="B1284" s="4">
        <v>45874</v>
      </c>
      <c r="C1284" s="4" t="str">
        <f t="shared" si="40"/>
        <v>Aug</v>
      </c>
      <c r="D1284" t="s">
        <v>1522</v>
      </c>
      <c r="E1284" t="s">
        <v>1525</v>
      </c>
      <c r="F1284" t="s">
        <v>1529</v>
      </c>
      <c r="G1284" t="s">
        <v>1543</v>
      </c>
      <c r="H1284" t="s">
        <v>1550</v>
      </c>
      <c r="I1284">
        <v>2025</v>
      </c>
      <c r="J1284" t="s">
        <v>1554</v>
      </c>
      <c r="K1284" t="s">
        <v>1557</v>
      </c>
      <c r="L1284">
        <v>1213615</v>
      </c>
      <c r="M1284">
        <v>1140260</v>
      </c>
      <c r="N1284">
        <v>73355</v>
      </c>
      <c r="O1284">
        <v>48</v>
      </c>
      <c r="P1284" t="str">
        <f t="shared" si="41"/>
        <v>adult</v>
      </c>
      <c r="Q1284" t="s">
        <v>1559</v>
      </c>
      <c r="R1284" t="s">
        <v>1561</v>
      </c>
      <c r="S1284" t="s">
        <v>1567</v>
      </c>
      <c r="T1284">
        <v>1236429</v>
      </c>
      <c r="U1284">
        <v>3</v>
      </c>
      <c r="V1284" t="s">
        <v>1585</v>
      </c>
      <c r="W1284" t="s">
        <v>1594</v>
      </c>
      <c r="X1284">
        <v>6.04</v>
      </c>
    </row>
    <row r="1285" spans="1:24" x14ac:dyDescent="0.25">
      <c r="A1285" t="s">
        <v>1305</v>
      </c>
      <c r="B1285" s="4">
        <v>45730</v>
      </c>
      <c r="C1285" s="4" t="str">
        <f t="shared" si="40"/>
        <v>Mar</v>
      </c>
      <c r="D1285" t="s">
        <v>1522</v>
      </c>
      <c r="E1285" t="s">
        <v>1523</v>
      </c>
      <c r="F1285" t="s">
        <v>1533</v>
      </c>
      <c r="G1285" t="s">
        <v>1541</v>
      </c>
      <c r="H1285" t="s">
        <v>4</v>
      </c>
      <c r="I1285">
        <v>2026</v>
      </c>
      <c r="J1285" t="s">
        <v>1554</v>
      </c>
      <c r="K1285" t="s">
        <v>1556</v>
      </c>
      <c r="L1285">
        <v>1690640</v>
      </c>
      <c r="M1285">
        <v>1436998</v>
      </c>
      <c r="N1285">
        <v>253642</v>
      </c>
      <c r="O1285">
        <v>31</v>
      </c>
      <c r="P1285" t="str">
        <f t="shared" si="41"/>
        <v>adult</v>
      </c>
      <c r="Q1285" t="s">
        <v>1558</v>
      </c>
      <c r="R1285" t="s">
        <v>1566</v>
      </c>
      <c r="S1285" t="s">
        <v>1569</v>
      </c>
      <c r="T1285">
        <v>837018</v>
      </c>
      <c r="U1285">
        <v>2</v>
      </c>
      <c r="V1285" t="s">
        <v>1588</v>
      </c>
      <c r="W1285" t="s">
        <v>1591</v>
      </c>
      <c r="X1285">
        <v>15</v>
      </c>
    </row>
    <row r="1286" spans="1:24" x14ac:dyDescent="0.25">
      <c r="A1286" t="s">
        <v>1306</v>
      </c>
      <c r="B1286" s="4">
        <v>45954</v>
      </c>
      <c r="C1286" s="4" t="str">
        <f t="shared" si="40"/>
        <v>Oct</v>
      </c>
      <c r="D1286" t="s">
        <v>1522</v>
      </c>
      <c r="E1286" t="s">
        <v>1524</v>
      </c>
      <c r="F1286" t="s">
        <v>1533</v>
      </c>
      <c r="G1286" t="s">
        <v>1539</v>
      </c>
      <c r="H1286" t="s">
        <v>1550</v>
      </c>
      <c r="I1286">
        <v>2024</v>
      </c>
      <c r="J1286" t="s">
        <v>1554</v>
      </c>
      <c r="K1286" t="s">
        <v>1556</v>
      </c>
      <c r="L1286">
        <v>1346414</v>
      </c>
      <c r="M1286">
        <v>1222620</v>
      </c>
      <c r="N1286">
        <v>123794</v>
      </c>
      <c r="O1286">
        <v>55</v>
      </c>
      <c r="P1286" t="str">
        <f t="shared" si="41"/>
        <v>senior</v>
      </c>
      <c r="Q1286" t="s">
        <v>1558</v>
      </c>
      <c r="R1286" t="s">
        <v>1562</v>
      </c>
      <c r="S1286" t="s">
        <v>1570</v>
      </c>
      <c r="T1286">
        <v>142164</v>
      </c>
      <c r="U1286">
        <v>5</v>
      </c>
      <c r="V1286" t="s">
        <v>1574</v>
      </c>
      <c r="W1286" t="s">
        <v>1593</v>
      </c>
      <c r="X1286">
        <v>9.19</v>
      </c>
    </row>
    <row r="1287" spans="1:24" x14ac:dyDescent="0.25">
      <c r="A1287" t="s">
        <v>1307</v>
      </c>
      <c r="B1287" s="4">
        <v>46175</v>
      </c>
      <c r="C1287" s="4" t="str">
        <f t="shared" si="40"/>
        <v>Jun</v>
      </c>
      <c r="D1287" t="s">
        <v>1522</v>
      </c>
      <c r="E1287" t="s">
        <v>1523</v>
      </c>
      <c r="F1287" t="s">
        <v>1528</v>
      </c>
      <c r="G1287" t="s">
        <v>1548</v>
      </c>
      <c r="H1287" t="s">
        <v>1551</v>
      </c>
      <c r="I1287">
        <v>2024</v>
      </c>
      <c r="J1287" t="s">
        <v>1554</v>
      </c>
      <c r="K1287" t="s">
        <v>1556</v>
      </c>
      <c r="L1287">
        <v>778070</v>
      </c>
      <c r="M1287">
        <v>690027</v>
      </c>
      <c r="N1287">
        <v>88043</v>
      </c>
      <c r="O1287">
        <v>28</v>
      </c>
      <c r="P1287" t="str">
        <f t="shared" si="41"/>
        <v>young</v>
      </c>
      <c r="Q1287" t="s">
        <v>1558</v>
      </c>
      <c r="R1287" t="s">
        <v>1561</v>
      </c>
      <c r="S1287" t="s">
        <v>1570</v>
      </c>
      <c r="T1287">
        <v>586606</v>
      </c>
      <c r="U1287">
        <v>2</v>
      </c>
      <c r="V1287" t="s">
        <v>1582</v>
      </c>
      <c r="W1287" t="s">
        <v>1592</v>
      </c>
      <c r="X1287">
        <v>11.32</v>
      </c>
    </row>
    <row r="1288" spans="1:24" x14ac:dyDescent="0.25">
      <c r="A1288" t="s">
        <v>1308</v>
      </c>
      <c r="B1288" s="4">
        <v>45761</v>
      </c>
      <c r="C1288" s="4" t="str">
        <f t="shared" si="40"/>
        <v>Apr</v>
      </c>
      <c r="D1288" t="s">
        <v>1522</v>
      </c>
      <c r="E1288" t="s">
        <v>1524</v>
      </c>
      <c r="F1288" t="s">
        <v>1533</v>
      </c>
      <c r="G1288" t="s">
        <v>1544</v>
      </c>
      <c r="H1288" t="s">
        <v>1550</v>
      </c>
      <c r="I1288">
        <v>2026</v>
      </c>
      <c r="J1288" t="s">
        <v>1554</v>
      </c>
      <c r="K1288" t="s">
        <v>1557</v>
      </c>
      <c r="L1288">
        <v>1640112</v>
      </c>
      <c r="M1288">
        <v>1357865</v>
      </c>
      <c r="N1288">
        <v>282247</v>
      </c>
      <c r="O1288">
        <v>39</v>
      </c>
      <c r="P1288" t="str">
        <f t="shared" si="41"/>
        <v>adult</v>
      </c>
      <c r="Q1288" t="s">
        <v>1559</v>
      </c>
      <c r="R1288" t="s">
        <v>1565</v>
      </c>
      <c r="S1288" t="s">
        <v>1569</v>
      </c>
      <c r="T1288">
        <v>1150292</v>
      </c>
      <c r="U1288">
        <v>4</v>
      </c>
      <c r="V1288" t="s">
        <v>1573</v>
      </c>
      <c r="W1288" t="s">
        <v>1592</v>
      </c>
      <c r="X1288">
        <v>17.21</v>
      </c>
    </row>
    <row r="1289" spans="1:24" x14ac:dyDescent="0.25">
      <c r="A1289" t="s">
        <v>1309</v>
      </c>
      <c r="B1289" s="4">
        <v>45876</v>
      </c>
      <c r="C1289" s="4" t="str">
        <f t="shared" si="40"/>
        <v>Aug</v>
      </c>
      <c r="D1289" t="s">
        <v>1522</v>
      </c>
      <c r="E1289" t="s">
        <v>1524</v>
      </c>
      <c r="F1289" t="s">
        <v>1532</v>
      </c>
      <c r="G1289" t="s">
        <v>1539</v>
      </c>
      <c r="H1289" t="s">
        <v>4</v>
      </c>
      <c r="I1289">
        <v>2024</v>
      </c>
      <c r="J1289" t="s">
        <v>1554</v>
      </c>
      <c r="K1289" t="s">
        <v>1557</v>
      </c>
      <c r="L1289">
        <v>1840923</v>
      </c>
      <c r="M1289">
        <v>1528165</v>
      </c>
      <c r="N1289">
        <v>312758</v>
      </c>
      <c r="O1289">
        <v>27</v>
      </c>
      <c r="P1289" t="str">
        <f t="shared" si="41"/>
        <v>young</v>
      </c>
      <c r="Q1289" t="s">
        <v>1559</v>
      </c>
      <c r="R1289" t="s">
        <v>1565</v>
      </c>
      <c r="S1289" t="s">
        <v>1567</v>
      </c>
      <c r="T1289">
        <v>1964660</v>
      </c>
      <c r="U1289">
        <v>2</v>
      </c>
      <c r="V1289" t="s">
        <v>1585</v>
      </c>
      <c r="W1289" t="s">
        <v>1594</v>
      </c>
      <c r="X1289">
        <v>16.989999999999998</v>
      </c>
    </row>
    <row r="1290" spans="1:24" x14ac:dyDescent="0.25">
      <c r="A1290" t="s">
        <v>1310</v>
      </c>
      <c r="B1290" s="4">
        <v>46055</v>
      </c>
      <c r="C1290" s="4" t="str">
        <f t="shared" si="40"/>
        <v>Feb</v>
      </c>
      <c r="D1290" t="s">
        <v>1522</v>
      </c>
      <c r="E1290" t="s">
        <v>1523</v>
      </c>
      <c r="F1290" t="s">
        <v>1533</v>
      </c>
      <c r="G1290" t="s">
        <v>1538</v>
      </c>
      <c r="H1290" t="s">
        <v>1550</v>
      </c>
      <c r="I1290">
        <v>2024</v>
      </c>
      <c r="J1290" t="s">
        <v>1554</v>
      </c>
      <c r="K1290" t="s">
        <v>1556</v>
      </c>
      <c r="L1290">
        <v>1505262</v>
      </c>
      <c r="M1290">
        <v>1396655</v>
      </c>
      <c r="N1290">
        <v>108607</v>
      </c>
      <c r="O1290">
        <v>35</v>
      </c>
      <c r="P1290" t="str">
        <f t="shared" si="41"/>
        <v>adult</v>
      </c>
      <c r="Q1290" t="s">
        <v>1558</v>
      </c>
      <c r="R1290" t="s">
        <v>1563</v>
      </c>
      <c r="S1290" t="s">
        <v>1568</v>
      </c>
      <c r="T1290">
        <v>1094188</v>
      </c>
      <c r="U1290">
        <v>2</v>
      </c>
      <c r="V1290" t="s">
        <v>1589</v>
      </c>
      <c r="W1290" t="s">
        <v>1591</v>
      </c>
      <c r="X1290">
        <v>7.22</v>
      </c>
    </row>
    <row r="1291" spans="1:24" x14ac:dyDescent="0.25">
      <c r="A1291" t="s">
        <v>1311</v>
      </c>
      <c r="B1291" s="4">
        <v>46192</v>
      </c>
      <c r="C1291" s="4" t="str">
        <f t="shared" si="40"/>
        <v>Jun</v>
      </c>
      <c r="D1291" t="s">
        <v>1522</v>
      </c>
      <c r="E1291" t="s">
        <v>1526</v>
      </c>
      <c r="F1291" t="s">
        <v>1536</v>
      </c>
      <c r="G1291" t="s">
        <v>1538</v>
      </c>
      <c r="H1291" t="s">
        <v>4</v>
      </c>
      <c r="I1291">
        <v>2024</v>
      </c>
      <c r="J1291" t="s">
        <v>1554</v>
      </c>
      <c r="K1291" t="s">
        <v>1556</v>
      </c>
      <c r="L1291">
        <v>1186048</v>
      </c>
      <c r="M1291">
        <v>1106119</v>
      </c>
      <c r="N1291">
        <v>79929</v>
      </c>
      <c r="O1291">
        <v>22</v>
      </c>
      <c r="P1291" t="str">
        <f t="shared" si="41"/>
        <v>young</v>
      </c>
      <c r="Q1291" t="s">
        <v>1559</v>
      </c>
      <c r="R1291" t="s">
        <v>1563</v>
      </c>
      <c r="S1291" t="s">
        <v>1567</v>
      </c>
      <c r="T1291">
        <v>315111</v>
      </c>
      <c r="U1291">
        <v>2</v>
      </c>
      <c r="V1291" t="s">
        <v>1582</v>
      </c>
      <c r="W1291" t="s">
        <v>1592</v>
      </c>
      <c r="X1291">
        <v>6.74</v>
      </c>
    </row>
    <row r="1292" spans="1:24" x14ac:dyDescent="0.25">
      <c r="A1292" t="s">
        <v>1312</v>
      </c>
      <c r="B1292" s="4">
        <v>46098</v>
      </c>
      <c r="C1292" s="4" t="str">
        <f t="shared" si="40"/>
        <v>Mar</v>
      </c>
      <c r="D1292" t="s">
        <v>1522</v>
      </c>
      <c r="E1292" t="s">
        <v>1527</v>
      </c>
      <c r="F1292" t="s">
        <v>1530</v>
      </c>
      <c r="G1292" t="s">
        <v>1544</v>
      </c>
      <c r="H1292" t="s">
        <v>4</v>
      </c>
      <c r="I1292">
        <v>2023</v>
      </c>
      <c r="J1292" t="s">
        <v>1553</v>
      </c>
      <c r="K1292" t="s">
        <v>1556</v>
      </c>
      <c r="L1292">
        <v>1514409</v>
      </c>
      <c r="M1292">
        <v>1293009</v>
      </c>
      <c r="N1292">
        <v>221400</v>
      </c>
      <c r="O1292">
        <v>24</v>
      </c>
      <c r="P1292" t="str">
        <f t="shared" si="41"/>
        <v>young</v>
      </c>
      <c r="Q1292" t="s">
        <v>1559</v>
      </c>
      <c r="R1292" t="s">
        <v>1564</v>
      </c>
      <c r="S1292" t="s">
        <v>1567</v>
      </c>
      <c r="T1292">
        <v>1502153</v>
      </c>
      <c r="U1292">
        <v>1</v>
      </c>
      <c r="V1292" t="s">
        <v>1586</v>
      </c>
      <c r="W1292" t="s">
        <v>1591</v>
      </c>
      <c r="X1292">
        <v>14.62</v>
      </c>
    </row>
    <row r="1293" spans="1:24" x14ac:dyDescent="0.25">
      <c r="A1293" t="s">
        <v>1313</v>
      </c>
      <c r="B1293" s="4">
        <v>45920</v>
      </c>
      <c r="C1293" s="4" t="str">
        <f t="shared" si="40"/>
        <v>Sep</v>
      </c>
      <c r="D1293" t="s">
        <v>1522</v>
      </c>
      <c r="E1293" t="s">
        <v>1527</v>
      </c>
      <c r="F1293" t="s">
        <v>1529</v>
      </c>
      <c r="G1293" t="s">
        <v>1545</v>
      </c>
      <c r="H1293" t="s">
        <v>4</v>
      </c>
      <c r="I1293">
        <v>2024</v>
      </c>
      <c r="J1293" t="s">
        <v>1554</v>
      </c>
      <c r="K1293" t="s">
        <v>1556</v>
      </c>
      <c r="L1293">
        <v>1650472</v>
      </c>
      <c r="M1293">
        <v>1460418</v>
      </c>
      <c r="N1293">
        <v>190054</v>
      </c>
      <c r="O1293">
        <v>22</v>
      </c>
      <c r="P1293" t="str">
        <f t="shared" si="41"/>
        <v>young</v>
      </c>
      <c r="Q1293" t="s">
        <v>1559</v>
      </c>
      <c r="R1293" t="s">
        <v>1566</v>
      </c>
      <c r="S1293" t="s">
        <v>1567</v>
      </c>
      <c r="T1293">
        <v>600294</v>
      </c>
      <c r="U1293">
        <v>1</v>
      </c>
      <c r="V1293" t="s">
        <v>1577</v>
      </c>
      <c r="W1293" t="s">
        <v>1594</v>
      </c>
      <c r="X1293">
        <v>11.52</v>
      </c>
    </row>
    <row r="1294" spans="1:24" x14ac:dyDescent="0.25">
      <c r="A1294" t="s">
        <v>1314</v>
      </c>
      <c r="B1294" s="4">
        <v>45947</v>
      </c>
      <c r="C1294" s="4" t="str">
        <f t="shared" si="40"/>
        <v>Oct</v>
      </c>
      <c r="D1294" t="s">
        <v>1522</v>
      </c>
      <c r="E1294" t="s">
        <v>1525</v>
      </c>
      <c r="F1294" t="s">
        <v>1537</v>
      </c>
      <c r="G1294" t="s">
        <v>1541</v>
      </c>
      <c r="H1294" t="s">
        <v>1551</v>
      </c>
      <c r="I1294">
        <v>2025</v>
      </c>
      <c r="J1294" t="s">
        <v>1554</v>
      </c>
      <c r="K1294" t="s">
        <v>1556</v>
      </c>
      <c r="L1294">
        <v>793783</v>
      </c>
      <c r="M1294">
        <v>741456</v>
      </c>
      <c r="N1294">
        <v>52327</v>
      </c>
      <c r="O1294">
        <v>48</v>
      </c>
      <c r="P1294" t="str">
        <f t="shared" si="41"/>
        <v>adult</v>
      </c>
      <c r="Q1294" t="s">
        <v>1558</v>
      </c>
      <c r="R1294" t="s">
        <v>1563</v>
      </c>
      <c r="S1294" t="s">
        <v>1569</v>
      </c>
      <c r="T1294">
        <v>946465</v>
      </c>
      <c r="U1294">
        <v>4</v>
      </c>
      <c r="V1294" t="s">
        <v>1574</v>
      </c>
      <c r="W1294" t="s">
        <v>1593</v>
      </c>
      <c r="X1294">
        <v>6.59</v>
      </c>
    </row>
    <row r="1295" spans="1:24" x14ac:dyDescent="0.25">
      <c r="A1295" t="s">
        <v>1315</v>
      </c>
      <c r="B1295" s="4">
        <v>45779</v>
      </c>
      <c r="C1295" s="4" t="str">
        <f t="shared" si="40"/>
        <v>May</v>
      </c>
      <c r="D1295" t="s">
        <v>1522</v>
      </c>
      <c r="E1295" t="s">
        <v>1525</v>
      </c>
      <c r="F1295" t="s">
        <v>1530</v>
      </c>
      <c r="G1295" t="s">
        <v>1538</v>
      </c>
      <c r="H1295" t="s">
        <v>4</v>
      </c>
      <c r="I1295">
        <v>2025</v>
      </c>
      <c r="J1295" t="s">
        <v>1554</v>
      </c>
      <c r="K1295" t="s">
        <v>1556</v>
      </c>
      <c r="L1295">
        <v>1780721</v>
      </c>
      <c r="M1295">
        <v>1502451</v>
      </c>
      <c r="N1295">
        <v>278270</v>
      </c>
      <c r="O1295">
        <v>41</v>
      </c>
      <c r="P1295" t="str">
        <f t="shared" si="41"/>
        <v>adult</v>
      </c>
      <c r="Q1295" t="s">
        <v>1558</v>
      </c>
      <c r="R1295" t="s">
        <v>1563</v>
      </c>
      <c r="S1295" t="s">
        <v>1568</v>
      </c>
      <c r="T1295">
        <v>33584</v>
      </c>
      <c r="U1295">
        <v>3</v>
      </c>
      <c r="V1295" t="s">
        <v>1572</v>
      </c>
      <c r="W1295" t="s">
        <v>1592</v>
      </c>
      <c r="X1295">
        <v>15.63</v>
      </c>
    </row>
    <row r="1296" spans="1:24" x14ac:dyDescent="0.25">
      <c r="A1296" t="s">
        <v>1316</v>
      </c>
      <c r="B1296" s="4">
        <v>45926</v>
      </c>
      <c r="C1296" s="4" t="str">
        <f t="shared" si="40"/>
        <v>Sep</v>
      </c>
      <c r="D1296" t="s">
        <v>1522</v>
      </c>
      <c r="E1296" t="s">
        <v>1524</v>
      </c>
      <c r="F1296" t="s">
        <v>1528</v>
      </c>
      <c r="G1296" t="s">
        <v>1546</v>
      </c>
      <c r="H1296" t="s">
        <v>1551</v>
      </c>
      <c r="I1296">
        <v>2022</v>
      </c>
      <c r="J1296" t="s">
        <v>1554</v>
      </c>
      <c r="K1296" t="s">
        <v>1557</v>
      </c>
      <c r="L1296">
        <v>865304</v>
      </c>
      <c r="M1296">
        <v>770198</v>
      </c>
      <c r="N1296">
        <v>95106</v>
      </c>
      <c r="O1296">
        <v>48</v>
      </c>
      <c r="P1296" t="str">
        <f t="shared" si="41"/>
        <v>adult</v>
      </c>
      <c r="Q1296" t="s">
        <v>1558</v>
      </c>
      <c r="R1296" t="s">
        <v>1562</v>
      </c>
      <c r="S1296" t="s">
        <v>1568</v>
      </c>
      <c r="T1296">
        <v>1309511</v>
      </c>
      <c r="U1296">
        <v>5</v>
      </c>
      <c r="V1296" t="s">
        <v>1577</v>
      </c>
      <c r="W1296" t="s">
        <v>1594</v>
      </c>
      <c r="X1296">
        <v>10.99</v>
      </c>
    </row>
    <row r="1297" spans="1:24" x14ac:dyDescent="0.25">
      <c r="A1297" t="s">
        <v>1317</v>
      </c>
      <c r="B1297" s="4">
        <v>45778</v>
      </c>
      <c r="C1297" s="4" t="str">
        <f t="shared" si="40"/>
        <v>May</v>
      </c>
      <c r="D1297" t="s">
        <v>1522</v>
      </c>
      <c r="E1297" t="s">
        <v>1526</v>
      </c>
      <c r="F1297" t="s">
        <v>1530</v>
      </c>
      <c r="G1297" t="s">
        <v>1543</v>
      </c>
      <c r="H1297" t="s">
        <v>1550</v>
      </c>
      <c r="I1297">
        <v>2024</v>
      </c>
      <c r="J1297" t="s">
        <v>1554</v>
      </c>
      <c r="K1297" t="s">
        <v>1556</v>
      </c>
      <c r="L1297">
        <v>1498946</v>
      </c>
      <c r="M1297">
        <v>1390729</v>
      </c>
      <c r="N1297">
        <v>108217</v>
      </c>
      <c r="O1297">
        <v>44</v>
      </c>
      <c r="P1297" t="str">
        <f t="shared" si="41"/>
        <v>adult</v>
      </c>
      <c r="Q1297" t="s">
        <v>1559</v>
      </c>
      <c r="R1297" t="s">
        <v>1561</v>
      </c>
      <c r="S1297" t="s">
        <v>1569</v>
      </c>
      <c r="T1297">
        <v>1907269</v>
      </c>
      <c r="U1297">
        <v>1</v>
      </c>
      <c r="V1297" t="s">
        <v>1572</v>
      </c>
      <c r="W1297" t="s">
        <v>1592</v>
      </c>
      <c r="X1297">
        <v>7.22</v>
      </c>
    </row>
    <row r="1298" spans="1:24" x14ac:dyDescent="0.25">
      <c r="A1298" t="s">
        <v>1318</v>
      </c>
      <c r="B1298" s="4">
        <v>46251</v>
      </c>
      <c r="C1298" s="4" t="str">
        <f t="shared" si="40"/>
        <v>Aug</v>
      </c>
      <c r="D1298" t="s">
        <v>1522</v>
      </c>
      <c r="E1298" t="s">
        <v>1527</v>
      </c>
      <c r="F1298" t="s">
        <v>1530</v>
      </c>
      <c r="G1298" t="s">
        <v>1547</v>
      </c>
      <c r="H1298" t="s">
        <v>4</v>
      </c>
      <c r="I1298">
        <v>2025</v>
      </c>
      <c r="J1298" t="s">
        <v>1554</v>
      </c>
      <c r="K1298" t="s">
        <v>1557</v>
      </c>
      <c r="L1298">
        <v>1370005</v>
      </c>
      <c r="M1298">
        <v>1195034</v>
      </c>
      <c r="N1298">
        <v>174971</v>
      </c>
      <c r="O1298">
        <v>52</v>
      </c>
      <c r="P1298" t="str">
        <f t="shared" si="41"/>
        <v>senior</v>
      </c>
      <c r="Q1298" t="s">
        <v>1559</v>
      </c>
      <c r="R1298" t="s">
        <v>1566</v>
      </c>
      <c r="S1298" t="s">
        <v>1570</v>
      </c>
      <c r="T1298">
        <v>778167</v>
      </c>
      <c r="U1298">
        <v>3</v>
      </c>
      <c r="V1298" t="s">
        <v>1576</v>
      </c>
      <c r="W1298" t="s">
        <v>1594</v>
      </c>
      <c r="X1298">
        <v>12.77</v>
      </c>
    </row>
    <row r="1299" spans="1:24" x14ac:dyDescent="0.25">
      <c r="A1299" t="s">
        <v>1319</v>
      </c>
      <c r="B1299" s="4">
        <v>46106</v>
      </c>
      <c r="C1299" s="4" t="str">
        <f t="shared" si="40"/>
        <v>Mar</v>
      </c>
      <c r="D1299" t="s">
        <v>1522</v>
      </c>
      <c r="E1299" t="s">
        <v>1524</v>
      </c>
      <c r="F1299" t="s">
        <v>1528</v>
      </c>
      <c r="G1299" t="s">
        <v>1549</v>
      </c>
      <c r="H1299" t="s">
        <v>1550</v>
      </c>
      <c r="I1299">
        <v>2026</v>
      </c>
      <c r="J1299" t="s">
        <v>1554</v>
      </c>
      <c r="K1299" t="s">
        <v>1557</v>
      </c>
      <c r="L1299">
        <v>1624273</v>
      </c>
      <c r="M1299">
        <v>1344362</v>
      </c>
      <c r="N1299">
        <v>279911</v>
      </c>
      <c r="O1299">
        <v>45</v>
      </c>
      <c r="P1299" t="str">
        <f t="shared" si="41"/>
        <v>adult</v>
      </c>
      <c r="Q1299" t="s">
        <v>1559</v>
      </c>
      <c r="R1299" t="s">
        <v>1564</v>
      </c>
      <c r="S1299" t="s">
        <v>1570</v>
      </c>
      <c r="T1299">
        <v>1209693</v>
      </c>
      <c r="U1299">
        <v>1</v>
      </c>
      <c r="V1299" t="s">
        <v>1586</v>
      </c>
      <c r="W1299" t="s">
        <v>1591</v>
      </c>
      <c r="X1299">
        <v>17.23</v>
      </c>
    </row>
    <row r="1300" spans="1:24" x14ac:dyDescent="0.25">
      <c r="A1300" t="s">
        <v>1320</v>
      </c>
      <c r="B1300" s="4">
        <v>45697</v>
      </c>
      <c r="C1300" s="4" t="str">
        <f t="shared" si="40"/>
        <v>Feb</v>
      </c>
      <c r="D1300" t="s">
        <v>1522</v>
      </c>
      <c r="E1300" t="s">
        <v>1527</v>
      </c>
      <c r="F1300" t="s">
        <v>1531</v>
      </c>
      <c r="G1300" t="s">
        <v>1541</v>
      </c>
      <c r="H1300" t="s">
        <v>1550</v>
      </c>
      <c r="I1300">
        <v>2024</v>
      </c>
      <c r="J1300" t="s">
        <v>1554</v>
      </c>
      <c r="K1300" t="s">
        <v>1557</v>
      </c>
      <c r="L1300">
        <v>1414003</v>
      </c>
      <c r="M1300">
        <v>1280194</v>
      </c>
      <c r="N1300">
        <v>133809</v>
      </c>
      <c r="O1300">
        <v>57</v>
      </c>
      <c r="P1300" t="str">
        <f t="shared" si="41"/>
        <v>senior</v>
      </c>
      <c r="Q1300" t="s">
        <v>1559</v>
      </c>
      <c r="R1300" t="s">
        <v>1562</v>
      </c>
      <c r="S1300" t="s">
        <v>1568</v>
      </c>
      <c r="T1300">
        <v>1179501</v>
      </c>
      <c r="U1300">
        <v>1</v>
      </c>
      <c r="V1300" t="s">
        <v>1578</v>
      </c>
      <c r="W1300" t="s">
        <v>1591</v>
      </c>
      <c r="X1300">
        <v>9.4600000000000009</v>
      </c>
    </row>
    <row r="1301" spans="1:24" x14ac:dyDescent="0.25">
      <c r="A1301" t="s">
        <v>1321</v>
      </c>
      <c r="B1301" s="4">
        <v>45667</v>
      </c>
      <c r="C1301" s="4" t="str">
        <f t="shared" si="40"/>
        <v>Jan</v>
      </c>
      <c r="D1301" t="s">
        <v>1522</v>
      </c>
      <c r="E1301" t="s">
        <v>1526</v>
      </c>
      <c r="F1301" t="s">
        <v>1535</v>
      </c>
      <c r="G1301" t="s">
        <v>1538</v>
      </c>
      <c r="H1301" t="s">
        <v>1552</v>
      </c>
      <c r="I1301">
        <v>2025</v>
      </c>
      <c r="J1301" t="s">
        <v>1555</v>
      </c>
      <c r="K1301" t="s">
        <v>1556</v>
      </c>
      <c r="L1301">
        <v>1927903</v>
      </c>
      <c r="M1301">
        <v>1687158</v>
      </c>
      <c r="N1301">
        <v>240745</v>
      </c>
      <c r="O1301">
        <v>29</v>
      </c>
      <c r="P1301" t="str">
        <f t="shared" si="41"/>
        <v>young</v>
      </c>
      <c r="Q1301" t="s">
        <v>1559</v>
      </c>
      <c r="R1301" t="s">
        <v>1561</v>
      </c>
      <c r="S1301" t="s">
        <v>1569</v>
      </c>
      <c r="T1301">
        <v>165822</v>
      </c>
      <c r="U1301">
        <v>1</v>
      </c>
      <c r="V1301" t="s">
        <v>1571</v>
      </c>
      <c r="W1301" t="s">
        <v>1591</v>
      </c>
      <c r="X1301">
        <v>12.49</v>
      </c>
    </row>
    <row r="1302" spans="1:24" x14ac:dyDescent="0.25">
      <c r="A1302" t="s">
        <v>1322</v>
      </c>
      <c r="B1302" s="4">
        <v>45968</v>
      </c>
      <c r="C1302" s="4" t="str">
        <f t="shared" si="40"/>
        <v>Nov</v>
      </c>
      <c r="D1302" t="s">
        <v>1522</v>
      </c>
      <c r="E1302" t="s">
        <v>1525</v>
      </c>
      <c r="F1302" t="s">
        <v>1529</v>
      </c>
      <c r="G1302" t="s">
        <v>1540</v>
      </c>
      <c r="H1302" t="s">
        <v>1550</v>
      </c>
      <c r="I1302">
        <v>2025</v>
      </c>
      <c r="J1302" t="s">
        <v>1554</v>
      </c>
      <c r="K1302" t="s">
        <v>1556</v>
      </c>
      <c r="L1302">
        <v>1160525</v>
      </c>
      <c r="M1302">
        <v>1127020</v>
      </c>
      <c r="N1302">
        <v>33505</v>
      </c>
      <c r="O1302">
        <v>45</v>
      </c>
      <c r="P1302" t="str">
        <f t="shared" si="41"/>
        <v>adult</v>
      </c>
      <c r="Q1302" t="s">
        <v>1558</v>
      </c>
      <c r="R1302" t="s">
        <v>1561</v>
      </c>
      <c r="S1302" t="s">
        <v>1570</v>
      </c>
      <c r="T1302">
        <v>214629</v>
      </c>
      <c r="U1302">
        <v>3</v>
      </c>
      <c r="V1302" t="s">
        <v>1583</v>
      </c>
      <c r="W1302" t="s">
        <v>1593</v>
      </c>
      <c r="X1302">
        <v>2.89</v>
      </c>
    </row>
    <row r="1303" spans="1:24" x14ac:dyDescent="0.25">
      <c r="A1303" t="s">
        <v>1323</v>
      </c>
      <c r="B1303" s="4">
        <v>45869</v>
      </c>
      <c r="C1303" s="4" t="str">
        <f t="shared" si="40"/>
        <v>Jul</v>
      </c>
      <c r="D1303" t="s">
        <v>1522</v>
      </c>
      <c r="E1303" t="s">
        <v>1527</v>
      </c>
      <c r="F1303" t="s">
        <v>1532</v>
      </c>
      <c r="G1303" t="s">
        <v>1549</v>
      </c>
      <c r="H1303" t="s">
        <v>1552</v>
      </c>
      <c r="I1303">
        <v>2024</v>
      </c>
      <c r="J1303" t="s">
        <v>1555</v>
      </c>
      <c r="K1303" t="s">
        <v>1556</v>
      </c>
      <c r="L1303">
        <v>1913226</v>
      </c>
      <c r="M1303">
        <v>1569009</v>
      </c>
      <c r="N1303">
        <v>344217</v>
      </c>
      <c r="O1303">
        <v>47</v>
      </c>
      <c r="P1303" t="str">
        <f t="shared" si="41"/>
        <v>adult</v>
      </c>
      <c r="Q1303" t="s">
        <v>1558</v>
      </c>
      <c r="R1303" t="s">
        <v>1565</v>
      </c>
      <c r="S1303" t="s">
        <v>1569</v>
      </c>
      <c r="T1303">
        <v>878300</v>
      </c>
      <c r="U1303">
        <v>5</v>
      </c>
      <c r="V1303" t="s">
        <v>1579</v>
      </c>
      <c r="W1303" t="s">
        <v>1594</v>
      </c>
      <c r="X1303">
        <v>17.989999999999998</v>
      </c>
    </row>
    <row r="1304" spans="1:24" x14ac:dyDescent="0.25">
      <c r="A1304" t="s">
        <v>1324</v>
      </c>
      <c r="B1304" s="4">
        <v>45958</v>
      </c>
      <c r="C1304" s="4" t="str">
        <f t="shared" si="40"/>
        <v>Oct</v>
      </c>
      <c r="D1304" t="s">
        <v>1522</v>
      </c>
      <c r="E1304" t="s">
        <v>1523</v>
      </c>
      <c r="F1304" t="s">
        <v>1537</v>
      </c>
      <c r="G1304" t="s">
        <v>1540</v>
      </c>
      <c r="H1304" t="s">
        <v>1552</v>
      </c>
      <c r="I1304">
        <v>2025</v>
      </c>
      <c r="J1304" t="s">
        <v>1555</v>
      </c>
      <c r="K1304" t="s">
        <v>1556</v>
      </c>
      <c r="L1304">
        <v>1922654</v>
      </c>
      <c r="M1304">
        <v>1645754</v>
      </c>
      <c r="N1304">
        <v>276900</v>
      </c>
      <c r="O1304">
        <v>34</v>
      </c>
      <c r="P1304" t="str">
        <f t="shared" si="41"/>
        <v>adult</v>
      </c>
      <c r="Q1304" t="s">
        <v>1558</v>
      </c>
      <c r="R1304" t="s">
        <v>1566</v>
      </c>
      <c r="S1304" t="s">
        <v>1567</v>
      </c>
      <c r="T1304">
        <v>1974523</v>
      </c>
      <c r="U1304">
        <v>4</v>
      </c>
      <c r="V1304" t="s">
        <v>1574</v>
      </c>
      <c r="W1304" t="s">
        <v>1593</v>
      </c>
      <c r="X1304">
        <v>14.4</v>
      </c>
    </row>
    <row r="1305" spans="1:24" x14ac:dyDescent="0.25">
      <c r="A1305" t="s">
        <v>1325</v>
      </c>
      <c r="B1305" s="4">
        <v>45829</v>
      </c>
      <c r="C1305" s="4" t="str">
        <f t="shared" si="40"/>
        <v>Jun</v>
      </c>
      <c r="D1305" t="s">
        <v>1522</v>
      </c>
      <c r="E1305" t="s">
        <v>1524</v>
      </c>
      <c r="F1305" t="s">
        <v>1533</v>
      </c>
      <c r="G1305" t="s">
        <v>1545</v>
      </c>
      <c r="H1305" t="s">
        <v>1552</v>
      </c>
      <c r="I1305">
        <v>2023</v>
      </c>
      <c r="J1305" t="s">
        <v>1555</v>
      </c>
      <c r="K1305" t="s">
        <v>1556</v>
      </c>
      <c r="L1305">
        <v>1951533</v>
      </c>
      <c r="M1305">
        <v>1664467</v>
      </c>
      <c r="N1305">
        <v>287066</v>
      </c>
      <c r="O1305">
        <v>59</v>
      </c>
      <c r="P1305" t="str">
        <f t="shared" si="41"/>
        <v>senior</v>
      </c>
      <c r="Q1305" t="s">
        <v>1558</v>
      </c>
      <c r="R1305" t="s">
        <v>1565</v>
      </c>
      <c r="S1305" t="s">
        <v>1567</v>
      </c>
      <c r="T1305">
        <v>599851</v>
      </c>
      <c r="U1305">
        <v>5</v>
      </c>
      <c r="V1305" t="s">
        <v>1584</v>
      </c>
      <c r="W1305" t="s">
        <v>1592</v>
      </c>
      <c r="X1305">
        <v>14.71</v>
      </c>
    </row>
    <row r="1306" spans="1:24" x14ac:dyDescent="0.25">
      <c r="A1306" t="s">
        <v>1326</v>
      </c>
      <c r="B1306" s="4">
        <v>46117</v>
      </c>
      <c r="C1306" s="4" t="str">
        <f t="shared" si="40"/>
        <v>Apr</v>
      </c>
      <c r="D1306" t="s">
        <v>1522</v>
      </c>
      <c r="E1306" t="s">
        <v>1523</v>
      </c>
      <c r="F1306" t="s">
        <v>1532</v>
      </c>
      <c r="G1306" t="s">
        <v>1542</v>
      </c>
      <c r="H1306" t="s">
        <v>1552</v>
      </c>
      <c r="I1306">
        <v>2022</v>
      </c>
      <c r="J1306" t="s">
        <v>1555</v>
      </c>
      <c r="K1306" t="s">
        <v>1556</v>
      </c>
      <c r="L1306">
        <v>1996464</v>
      </c>
      <c r="M1306">
        <v>1628512</v>
      </c>
      <c r="N1306">
        <v>367952</v>
      </c>
      <c r="O1306">
        <v>56</v>
      </c>
      <c r="P1306" t="str">
        <f t="shared" si="41"/>
        <v>senior</v>
      </c>
      <c r="Q1306" t="s">
        <v>1558</v>
      </c>
      <c r="R1306" t="s">
        <v>1561</v>
      </c>
      <c r="S1306" t="s">
        <v>1567</v>
      </c>
      <c r="T1306">
        <v>1087627</v>
      </c>
      <c r="U1306">
        <v>1</v>
      </c>
      <c r="V1306" t="s">
        <v>1580</v>
      </c>
      <c r="W1306" t="s">
        <v>1592</v>
      </c>
      <c r="X1306">
        <v>18.43</v>
      </c>
    </row>
    <row r="1307" spans="1:24" x14ac:dyDescent="0.25">
      <c r="A1307" t="s">
        <v>1327</v>
      </c>
      <c r="B1307" s="4">
        <v>45938</v>
      </c>
      <c r="C1307" s="4" t="str">
        <f t="shared" si="40"/>
        <v>Oct</v>
      </c>
      <c r="D1307" t="s">
        <v>1522</v>
      </c>
      <c r="E1307" t="s">
        <v>1523</v>
      </c>
      <c r="F1307" t="s">
        <v>1537</v>
      </c>
      <c r="G1307" t="s">
        <v>1543</v>
      </c>
      <c r="H1307" t="s">
        <v>1552</v>
      </c>
      <c r="I1307">
        <v>2023</v>
      </c>
      <c r="J1307" t="s">
        <v>1555</v>
      </c>
      <c r="K1307" t="s">
        <v>1556</v>
      </c>
      <c r="L1307">
        <v>1953774</v>
      </c>
      <c r="M1307">
        <v>1817195</v>
      </c>
      <c r="N1307">
        <v>136579</v>
      </c>
      <c r="O1307">
        <v>28</v>
      </c>
      <c r="P1307" t="str">
        <f t="shared" si="41"/>
        <v>young</v>
      </c>
      <c r="Q1307" t="s">
        <v>1558</v>
      </c>
      <c r="R1307" t="s">
        <v>1563</v>
      </c>
      <c r="S1307" t="s">
        <v>1567</v>
      </c>
      <c r="T1307">
        <v>720184</v>
      </c>
      <c r="U1307">
        <v>5</v>
      </c>
      <c r="V1307" t="s">
        <v>1574</v>
      </c>
      <c r="W1307" t="s">
        <v>1593</v>
      </c>
      <c r="X1307">
        <v>6.99</v>
      </c>
    </row>
    <row r="1308" spans="1:24" x14ac:dyDescent="0.25">
      <c r="A1308" t="s">
        <v>1328</v>
      </c>
      <c r="B1308" s="4">
        <v>45965</v>
      </c>
      <c r="C1308" s="4" t="str">
        <f t="shared" si="40"/>
        <v>Nov</v>
      </c>
      <c r="D1308" t="s">
        <v>1522</v>
      </c>
      <c r="E1308" t="s">
        <v>1524</v>
      </c>
      <c r="F1308" t="s">
        <v>1534</v>
      </c>
      <c r="G1308" t="s">
        <v>1541</v>
      </c>
      <c r="H1308" t="s">
        <v>4</v>
      </c>
      <c r="I1308">
        <v>2025</v>
      </c>
      <c r="J1308" t="s">
        <v>1554</v>
      </c>
      <c r="K1308" t="s">
        <v>1557</v>
      </c>
      <c r="L1308">
        <v>1448331</v>
      </c>
      <c r="M1308">
        <v>1346643</v>
      </c>
      <c r="N1308">
        <v>101688</v>
      </c>
      <c r="O1308">
        <v>54</v>
      </c>
      <c r="P1308" t="str">
        <f t="shared" si="41"/>
        <v>senior</v>
      </c>
      <c r="Q1308" t="s">
        <v>1558</v>
      </c>
      <c r="R1308" t="s">
        <v>1561</v>
      </c>
      <c r="S1308" t="s">
        <v>1567</v>
      </c>
      <c r="T1308">
        <v>653002</v>
      </c>
      <c r="U1308">
        <v>4</v>
      </c>
      <c r="V1308" t="s">
        <v>1583</v>
      </c>
      <c r="W1308" t="s">
        <v>1593</v>
      </c>
      <c r="X1308">
        <v>7.02</v>
      </c>
    </row>
    <row r="1309" spans="1:24" x14ac:dyDescent="0.25">
      <c r="A1309" t="s">
        <v>1329</v>
      </c>
      <c r="B1309" s="4">
        <v>45909</v>
      </c>
      <c r="C1309" s="4" t="str">
        <f t="shared" si="40"/>
        <v>Sep</v>
      </c>
      <c r="D1309" t="s">
        <v>1522</v>
      </c>
      <c r="E1309" t="s">
        <v>1525</v>
      </c>
      <c r="F1309" t="s">
        <v>1529</v>
      </c>
      <c r="G1309" t="s">
        <v>1546</v>
      </c>
      <c r="H1309" t="s">
        <v>4</v>
      </c>
      <c r="I1309">
        <v>2025</v>
      </c>
      <c r="J1309" t="s">
        <v>1554</v>
      </c>
      <c r="K1309" t="s">
        <v>1557</v>
      </c>
      <c r="L1309">
        <v>1576235</v>
      </c>
      <c r="M1309">
        <v>1406225</v>
      </c>
      <c r="N1309">
        <v>170010</v>
      </c>
      <c r="O1309">
        <v>42</v>
      </c>
      <c r="P1309" t="str">
        <f t="shared" si="41"/>
        <v>adult</v>
      </c>
      <c r="Q1309" t="s">
        <v>1559</v>
      </c>
      <c r="R1309" t="s">
        <v>1564</v>
      </c>
      <c r="S1309" t="s">
        <v>1567</v>
      </c>
      <c r="T1309">
        <v>622252</v>
      </c>
      <c r="U1309">
        <v>3</v>
      </c>
      <c r="V1309" t="s">
        <v>1577</v>
      </c>
      <c r="W1309" t="s">
        <v>1594</v>
      </c>
      <c r="X1309">
        <v>10.79</v>
      </c>
    </row>
    <row r="1310" spans="1:24" x14ac:dyDescent="0.25">
      <c r="A1310" t="s">
        <v>1330</v>
      </c>
      <c r="B1310" s="4">
        <v>46137</v>
      </c>
      <c r="C1310" s="4" t="str">
        <f t="shared" si="40"/>
        <v>Apr</v>
      </c>
      <c r="D1310" t="s">
        <v>1522</v>
      </c>
      <c r="E1310" t="s">
        <v>1523</v>
      </c>
      <c r="F1310" t="s">
        <v>1529</v>
      </c>
      <c r="G1310" t="s">
        <v>1539</v>
      </c>
      <c r="H1310" t="s">
        <v>1552</v>
      </c>
      <c r="I1310">
        <v>2026</v>
      </c>
      <c r="J1310" t="s">
        <v>1555</v>
      </c>
      <c r="K1310" t="s">
        <v>1556</v>
      </c>
      <c r="L1310">
        <v>2003610</v>
      </c>
      <c r="M1310">
        <v>1721488</v>
      </c>
      <c r="N1310">
        <v>282122</v>
      </c>
      <c r="O1310">
        <v>35</v>
      </c>
      <c r="P1310" t="str">
        <f t="shared" si="41"/>
        <v>adult</v>
      </c>
      <c r="Q1310" t="s">
        <v>1558</v>
      </c>
      <c r="R1310" t="s">
        <v>1566</v>
      </c>
      <c r="S1310" t="s">
        <v>1568</v>
      </c>
      <c r="T1310">
        <v>2186033</v>
      </c>
      <c r="U1310">
        <v>2</v>
      </c>
      <c r="V1310" t="s">
        <v>1580</v>
      </c>
      <c r="W1310" t="s">
        <v>1592</v>
      </c>
      <c r="X1310">
        <v>14.08</v>
      </c>
    </row>
    <row r="1311" spans="1:24" x14ac:dyDescent="0.25">
      <c r="A1311" t="s">
        <v>1331</v>
      </c>
      <c r="B1311" s="4">
        <v>45772</v>
      </c>
      <c r="C1311" s="4" t="str">
        <f t="shared" si="40"/>
        <v>Apr</v>
      </c>
      <c r="D1311" t="s">
        <v>1522</v>
      </c>
      <c r="E1311" t="s">
        <v>1523</v>
      </c>
      <c r="F1311" t="s">
        <v>1537</v>
      </c>
      <c r="G1311" t="s">
        <v>1541</v>
      </c>
      <c r="H1311" t="s">
        <v>4</v>
      </c>
      <c r="I1311">
        <v>2026</v>
      </c>
      <c r="J1311" t="s">
        <v>1554</v>
      </c>
      <c r="K1311" t="s">
        <v>1556</v>
      </c>
      <c r="L1311">
        <v>1685107</v>
      </c>
      <c r="M1311">
        <v>1516358</v>
      </c>
      <c r="N1311">
        <v>168749</v>
      </c>
      <c r="O1311">
        <v>62</v>
      </c>
      <c r="P1311" t="str">
        <f t="shared" si="41"/>
        <v>senior</v>
      </c>
      <c r="Q1311" t="s">
        <v>1558</v>
      </c>
      <c r="R1311" t="s">
        <v>1563</v>
      </c>
      <c r="S1311" t="s">
        <v>1567</v>
      </c>
      <c r="T1311">
        <v>827794</v>
      </c>
      <c r="U1311">
        <v>1</v>
      </c>
      <c r="V1311" t="s">
        <v>1573</v>
      </c>
      <c r="W1311" t="s">
        <v>1592</v>
      </c>
      <c r="X1311">
        <v>10.01</v>
      </c>
    </row>
    <row r="1312" spans="1:24" x14ac:dyDescent="0.25">
      <c r="A1312" t="s">
        <v>1332</v>
      </c>
      <c r="B1312" s="4">
        <v>45704</v>
      </c>
      <c r="C1312" s="4" t="str">
        <f t="shared" si="40"/>
        <v>Feb</v>
      </c>
      <c r="D1312" t="s">
        <v>1522</v>
      </c>
      <c r="E1312" t="s">
        <v>1525</v>
      </c>
      <c r="F1312" t="s">
        <v>1536</v>
      </c>
      <c r="G1312" t="s">
        <v>1544</v>
      </c>
      <c r="H1312" t="s">
        <v>1550</v>
      </c>
      <c r="I1312">
        <v>2022</v>
      </c>
      <c r="J1312" t="s">
        <v>1554</v>
      </c>
      <c r="K1312" t="s">
        <v>1557</v>
      </c>
      <c r="L1312">
        <v>1259720</v>
      </c>
      <c r="M1312">
        <v>1104944</v>
      </c>
      <c r="N1312">
        <v>154776</v>
      </c>
      <c r="O1312">
        <v>46</v>
      </c>
      <c r="P1312" t="str">
        <f t="shared" si="41"/>
        <v>adult</v>
      </c>
      <c r="Q1312" t="s">
        <v>1558</v>
      </c>
      <c r="R1312" t="s">
        <v>1565</v>
      </c>
      <c r="S1312" t="s">
        <v>1569</v>
      </c>
      <c r="T1312">
        <v>1215872</v>
      </c>
      <c r="U1312">
        <v>5</v>
      </c>
      <c r="V1312" t="s">
        <v>1578</v>
      </c>
      <c r="W1312" t="s">
        <v>1591</v>
      </c>
      <c r="X1312">
        <v>12.29</v>
      </c>
    </row>
    <row r="1313" spans="1:24" x14ac:dyDescent="0.25">
      <c r="A1313" t="s">
        <v>1333</v>
      </c>
      <c r="B1313" s="4">
        <v>45936</v>
      </c>
      <c r="C1313" s="4" t="str">
        <f t="shared" si="40"/>
        <v>Oct</v>
      </c>
      <c r="D1313" t="s">
        <v>1522</v>
      </c>
      <c r="E1313" t="s">
        <v>1526</v>
      </c>
      <c r="F1313" t="s">
        <v>1535</v>
      </c>
      <c r="G1313" t="s">
        <v>1542</v>
      </c>
      <c r="H1313" t="s">
        <v>1552</v>
      </c>
      <c r="I1313">
        <v>2026</v>
      </c>
      <c r="J1313" t="s">
        <v>1555</v>
      </c>
      <c r="K1313" t="s">
        <v>1556</v>
      </c>
      <c r="L1313">
        <v>1999197</v>
      </c>
      <c r="M1313">
        <v>1760931</v>
      </c>
      <c r="N1313">
        <v>238266</v>
      </c>
      <c r="O1313">
        <v>57</v>
      </c>
      <c r="P1313" t="str">
        <f t="shared" si="41"/>
        <v>senior</v>
      </c>
      <c r="Q1313" t="s">
        <v>1559</v>
      </c>
      <c r="R1313" t="s">
        <v>1563</v>
      </c>
      <c r="S1313" t="s">
        <v>1569</v>
      </c>
      <c r="T1313">
        <v>427284</v>
      </c>
      <c r="U1313">
        <v>2</v>
      </c>
      <c r="V1313" t="s">
        <v>1574</v>
      </c>
      <c r="W1313" t="s">
        <v>1593</v>
      </c>
      <c r="X1313">
        <v>11.92</v>
      </c>
    </row>
    <row r="1314" spans="1:24" x14ac:dyDescent="0.25">
      <c r="A1314" t="s">
        <v>1334</v>
      </c>
      <c r="B1314" s="4">
        <v>46131</v>
      </c>
      <c r="C1314" s="4" t="str">
        <f t="shared" si="40"/>
        <v>Apr</v>
      </c>
      <c r="D1314" t="s">
        <v>1522</v>
      </c>
      <c r="E1314" t="s">
        <v>1527</v>
      </c>
      <c r="F1314" t="s">
        <v>1533</v>
      </c>
      <c r="G1314" t="s">
        <v>1542</v>
      </c>
      <c r="H1314" t="s">
        <v>1551</v>
      </c>
      <c r="I1314">
        <v>2023</v>
      </c>
      <c r="J1314" t="s">
        <v>1554</v>
      </c>
      <c r="K1314" t="s">
        <v>1557</v>
      </c>
      <c r="L1314">
        <v>1010886</v>
      </c>
      <c r="M1314">
        <v>959199</v>
      </c>
      <c r="N1314">
        <v>51687</v>
      </c>
      <c r="O1314">
        <v>49</v>
      </c>
      <c r="P1314" t="str">
        <f t="shared" si="41"/>
        <v>adult</v>
      </c>
      <c r="Q1314" t="s">
        <v>1558</v>
      </c>
      <c r="R1314" t="s">
        <v>1564</v>
      </c>
      <c r="S1314" t="s">
        <v>1567</v>
      </c>
      <c r="T1314">
        <v>663023</v>
      </c>
      <c r="U1314">
        <v>2</v>
      </c>
      <c r="V1314" t="s">
        <v>1580</v>
      </c>
      <c r="W1314" t="s">
        <v>1592</v>
      </c>
      <c r="X1314">
        <v>5.1100000000000003</v>
      </c>
    </row>
    <row r="1315" spans="1:24" x14ac:dyDescent="0.25">
      <c r="A1315" t="s">
        <v>1335</v>
      </c>
      <c r="B1315" s="4">
        <v>46134</v>
      </c>
      <c r="C1315" s="4" t="str">
        <f t="shared" si="40"/>
        <v>Apr</v>
      </c>
      <c r="D1315" t="s">
        <v>1522</v>
      </c>
      <c r="E1315" t="s">
        <v>1524</v>
      </c>
      <c r="F1315" t="s">
        <v>1530</v>
      </c>
      <c r="G1315" t="s">
        <v>1548</v>
      </c>
      <c r="H1315" t="s">
        <v>4</v>
      </c>
      <c r="I1315">
        <v>2023</v>
      </c>
      <c r="J1315" t="s">
        <v>1554</v>
      </c>
      <c r="K1315" t="s">
        <v>1556</v>
      </c>
      <c r="L1315">
        <v>1636574</v>
      </c>
      <c r="M1315">
        <v>1383594</v>
      </c>
      <c r="N1315">
        <v>252980</v>
      </c>
      <c r="O1315">
        <v>63</v>
      </c>
      <c r="P1315" t="str">
        <f t="shared" si="41"/>
        <v>senior</v>
      </c>
      <c r="Q1315" t="s">
        <v>1559</v>
      </c>
      <c r="R1315" t="s">
        <v>1561</v>
      </c>
      <c r="S1315" t="s">
        <v>1568</v>
      </c>
      <c r="T1315">
        <v>1667700</v>
      </c>
      <c r="U1315">
        <v>3</v>
      </c>
      <c r="V1315" t="s">
        <v>1580</v>
      </c>
      <c r="W1315" t="s">
        <v>1592</v>
      </c>
      <c r="X1315">
        <v>15.46</v>
      </c>
    </row>
    <row r="1316" spans="1:24" x14ac:dyDescent="0.25">
      <c r="A1316" t="s">
        <v>1336</v>
      </c>
      <c r="B1316" s="4">
        <v>46251</v>
      </c>
      <c r="C1316" s="4" t="str">
        <f t="shared" si="40"/>
        <v>Aug</v>
      </c>
      <c r="D1316" t="s">
        <v>1522</v>
      </c>
      <c r="E1316" t="s">
        <v>1527</v>
      </c>
      <c r="F1316" t="s">
        <v>1535</v>
      </c>
      <c r="G1316" t="s">
        <v>1539</v>
      </c>
      <c r="H1316" t="s">
        <v>1550</v>
      </c>
      <c r="I1316">
        <v>2024</v>
      </c>
      <c r="J1316" t="s">
        <v>1554</v>
      </c>
      <c r="K1316" t="s">
        <v>1557</v>
      </c>
      <c r="L1316">
        <v>1698700</v>
      </c>
      <c r="M1316">
        <v>1586560</v>
      </c>
      <c r="N1316">
        <v>112140</v>
      </c>
      <c r="O1316">
        <v>59</v>
      </c>
      <c r="P1316" t="str">
        <f t="shared" si="41"/>
        <v>senior</v>
      </c>
      <c r="Q1316" t="s">
        <v>1558</v>
      </c>
      <c r="R1316" t="s">
        <v>1565</v>
      </c>
      <c r="S1316" t="s">
        <v>1568</v>
      </c>
      <c r="T1316">
        <v>44667</v>
      </c>
      <c r="U1316">
        <v>4</v>
      </c>
      <c r="V1316" t="s">
        <v>1576</v>
      </c>
      <c r="W1316" t="s">
        <v>1594</v>
      </c>
      <c r="X1316">
        <v>6.6</v>
      </c>
    </row>
    <row r="1317" spans="1:24" x14ac:dyDescent="0.25">
      <c r="A1317" t="s">
        <v>1337</v>
      </c>
      <c r="B1317" s="4">
        <v>45691</v>
      </c>
      <c r="C1317" s="4" t="str">
        <f t="shared" si="40"/>
        <v>Feb</v>
      </c>
      <c r="D1317" t="s">
        <v>1522</v>
      </c>
      <c r="E1317" t="s">
        <v>1524</v>
      </c>
      <c r="F1317" t="s">
        <v>1529</v>
      </c>
      <c r="G1317" t="s">
        <v>1547</v>
      </c>
      <c r="H1317" t="s">
        <v>1550</v>
      </c>
      <c r="I1317">
        <v>2024</v>
      </c>
      <c r="J1317" t="s">
        <v>1554</v>
      </c>
      <c r="K1317" t="s">
        <v>1556</v>
      </c>
      <c r="L1317">
        <v>1238212</v>
      </c>
      <c r="M1317">
        <v>1074027</v>
      </c>
      <c r="N1317">
        <v>164185</v>
      </c>
      <c r="O1317">
        <v>61</v>
      </c>
      <c r="P1317" t="str">
        <f t="shared" si="41"/>
        <v>senior</v>
      </c>
      <c r="Q1317" t="s">
        <v>1558</v>
      </c>
      <c r="R1317" t="s">
        <v>1566</v>
      </c>
      <c r="S1317" t="s">
        <v>1567</v>
      </c>
      <c r="T1317">
        <v>1188313</v>
      </c>
      <c r="U1317">
        <v>3</v>
      </c>
      <c r="V1317" t="s">
        <v>1578</v>
      </c>
      <c r="W1317" t="s">
        <v>1591</v>
      </c>
      <c r="X1317">
        <v>13.26</v>
      </c>
    </row>
    <row r="1318" spans="1:24" x14ac:dyDescent="0.25">
      <c r="A1318" t="s">
        <v>1338</v>
      </c>
      <c r="B1318" s="4">
        <v>46107</v>
      </c>
      <c r="C1318" s="4" t="str">
        <f t="shared" si="40"/>
        <v>Mar</v>
      </c>
      <c r="D1318" t="s">
        <v>1522</v>
      </c>
      <c r="E1318" t="s">
        <v>1527</v>
      </c>
      <c r="F1318" t="s">
        <v>1535</v>
      </c>
      <c r="G1318" t="s">
        <v>1545</v>
      </c>
      <c r="H1318" t="s">
        <v>4</v>
      </c>
      <c r="I1318">
        <v>2026</v>
      </c>
      <c r="J1318" t="s">
        <v>1554</v>
      </c>
      <c r="K1318" t="s">
        <v>1557</v>
      </c>
      <c r="L1318">
        <v>1813947</v>
      </c>
      <c r="M1318">
        <v>1474495</v>
      </c>
      <c r="N1318">
        <v>339452</v>
      </c>
      <c r="O1318">
        <v>51</v>
      </c>
      <c r="P1318" t="str">
        <f t="shared" si="41"/>
        <v>senior</v>
      </c>
      <c r="Q1318" t="s">
        <v>1560</v>
      </c>
      <c r="R1318" t="s">
        <v>1563</v>
      </c>
      <c r="S1318" t="s">
        <v>1569</v>
      </c>
      <c r="T1318">
        <v>946049</v>
      </c>
      <c r="U1318">
        <v>3</v>
      </c>
      <c r="V1318" t="s">
        <v>1586</v>
      </c>
      <c r="W1318" t="s">
        <v>1591</v>
      </c>
      <c r="X1318">
        <v>18.71</v>
      </c>
    </row>
    <row r="1319" spans="1:24" x14ac:dyDescent="0.25">
      <c r="A1319" t="s">
        <v>1339</v>
      </c>
      <c r="B1319" s="4">
        <v>45838</v>
      </c>
      <c r="C1319" s="4" t="str">
        <f t="shared" si="40"/>
        <v>Jun</v>
      </c>
      <c r="D1319" t="s">
        <v>1522</v>
      </c>
      <c r="E1319" t="s">
        <v>1523</v>
      </c>
      <c r="F1319" t="s">
        <v>1534</v>
      </c>
      <c r="G1319" t="s">
        <v>1542</v>
      </c>
      <c r="H1319" t="s">
        <v>1550</v>
      </c>
      <c r="I1319">
        <v>2024</v>
      </c>
      <c r="J1319" t="s">
        <v>1554</v>
      </c>
      <c r="K1319" t="s">
        <v>1557</v>
      </c>
      <c r="L1319">
        <v>1429456</v>
      </c>
      <c r="M1319">
        <v>1181242</v>
      </c>
      <c r="N1319">
        <v>248214</v>
      </c>
      <c r="O1319">
        <v>27</v>
      </c>
      <c r="P1319" t="str">
        <f t="shared" si="41"/>
        <v>young</v>
      </c>
      <c r="Q1319" t="s">
        <v>1559</v>
      </c>
      <c r="R1319" t="s">
        <v>1566</v>
      </c>
      <c r="S1319" t="s">
        <v>1568</v>
      </c>
      <c r="T1319">
        <v>2190751</v>
      </c>
      <c r="U1319">
        <v>1</v>
      </c>
      <c r="V1319" t="s">
        <v>1584</v>
      </c>
      <c r="W1319" t="s">
        <v>1592</v>
      </c>
      <c r="X1319">
        <v>17.36</v>
      </c>
    </row>
    <row r="1320" spans="1:24" x14ac:dyDescent="0.25">
      <c r="A1320" t="s">
        <v>1340</v>
      </c>
      <c r="B1320" s="4">
        <v>46087</v>
      </c>
      <c r="C1320" s="4" t="str">
        <f t="shared" si="40"/>
        <v>Mar</v>
      </c>
      <c r="D1320" t="s">
        <v>1522</v>
      </c>
      <c r="E1320" t="s">
        <v>1523</v>
      </c>
      <c r="F1320" t="s">
        <v>1534</v>
      </c>
      <c r="G1320" t="s">
        <v>1546</v>
      </c>
      <c r="H1320" t="s">
        <v>1550</v>
      </c>
      <c r="I1320">
        <v>2024</v>
      </c>
      <c r="J1320" t="s">
        <v>1554</v>
      </c>
      <c r="K1320" t="s">
        <v>1556</v>
      </c>
      <c r="L1320">
        <v>1247647</v>
      </c>
      <c r="M1320">
        <v>1030720</v>
      </c>
      <c r="N1320">
        <v>216927</v>
      </c>
      <c r="O1320">
        <v>60</v>
      </c>
      <c r="P1320" t="str">
        <f t="shared" si="41"/>
        <v>senior</v>
      </c>
      <c r="Q1320" t="s">
        <v>1558</v>
      </c>
      <c r="R1320" t="s">
        <v>1562</v>
      </c>
      <c r="S1320" t="s">
        <v>1569</v>
      </c>
      <c r="T1320">
        <v>75438</v>
      </c>
      <c r="U1320">
        <v>3</v>
      </c>
      <c r="V1320" t="s">
        <v>1586</v>
      </c>
      <c r="W1320" t="s">
        <v>1591</v>
      </c>
      <c r="X1320">
        <v>17.39</v>
      </c>
    </row>
    <row r="1321" spans="1:24" x14ac:dyDescent="0.25">
      <c r="A1321" t="s">
        <v>1341</v>
      </c>
      <c r="B1321" s="4">
        <v>46108</v>
      </c>
      <c r="C1321" s="4" t="str">
        <f t="shared" si="40"/>
        <v>Mar</v>
      </c>
      <c r="D1321" t="s">
        <v>1522</v>
      </c>
      <c r="E1321" t="s">
        <v>1526</v>
      </c>
      <c r="F1321" t="s">
        <v>1533</v>
      </c>
      <c r="G1321" t="s">
        <v>1545</v>
      </c>
      <c r="H1321" t="s">
        <v>1552</v>
      </c>
      <c r="I1321">
        <v>2025</v>
      </c>
      <c r="J1321" t="s">
        <v>1555</v>
      </c>
      <c r="K1321" t="s">
        <v>1556</v>
      </c>
      <c r="L1321">
        <v>1958339</v>
      </c>
      <c r="M1321">
        <v>1697260</v>
      </c>
      <c r="N1321">
        <v>261079</v>
      </c>
      <c r="O1321">
        <v>63</v>
      </c>
      <c r="P1321" t="str">
        <f t="shared" si="41"/>
        <v>senior</v>
      </c>
      <c r="Q1321" t="s">
        <v>1558</v>
      </c>
      <c r="R1321" t="s">
        <v>1563</v>
      </c>
      <c r="S1321" t="s">
        <v>1570</v>
      </c>
      <c r="T1321">
        <v>327456</v>
      </c>
      <c r="U1321">
        <v>1</v>
      </c>
      <c r="V1321" t="s">
        <v>1586</v>
      </c>
      <c r="W1321" t="s">
        <v>1591</v>
      </c>
      <c r="X1321">
        <v>13.33</v>
      </c>
    </row>
    <row r="1322" spans="1:24" x14ac:dyDescent="0.25">
      <c r="A1322" t="s">
        <v>1342</v>
      </c>
      <c r="B1322" s="4">
        <v>45812</v>
      </c>
      <c r="C1322" s="4" t="str">
        <f t="shared" si="40"/>
        <v>Jun</v>
      </c>
      <c r="D1322" t="s">
        <v>1522</v>
      </c>
      <c r="E1322" t="s">
        <v>1525</v>
      </c>
      <c r="F1322" t="s">
        <v>1531</v>
      </c>
      <c r="G1322" t="s">
        <v>1539</v>
      </c>
      <c r="H1322" t="s">
        <v>4</v>
      </c>
      <c r="I1322">
        <v>2026</v>
      </c>
      <c r="J1322" t="s">
        <v>1554</v>
      </c>
      <c r="K1322" t="s">
        <v>1557</v>
      </c>
      <c r="L1322">
        <v>1711878</v>
      </c>
      <c r="M1322">
        <v>1490500</v>
      </c>
      <c r="N1322">
        <v>221378</v>
      </c>
      <c r="O1322">
        <v>53</v>
      </c>
      <c r="P1322" t="str">
        <f t="shared" si="41"/>
        <v>senior</v>
      </c>
      <c r="Q1322" t="s">
        <v>1558</v>
      </c>
      <c r="R1322" t="s">
        <v>1561</v>
      </c>
      <c r="S1322" t="s">
        <v>1570</v>
      </c>
      <c r="T1322">
        <v>1069838</v>
      </c>
      <c r="U1322">
        <v>2</v>
      </c>
      <c r="V1322" t="s">
        <v>1584</v>
      </c>
      <c r="W1322" t="s">
        <v>1592</v>
      </c>
      <c r="X1322">
        <v>12.93</v>
      </c>
    </row>
    <row r="1323" spans="1:24" x14ac:dyDescent="0.25">
      <c r="A1323" t="s">
        <v>1343</v>
      </c>
      <c r="B1323" s="4">
        <v>46083</v>
      </c>
      <c r="C1323" s="4" t="str">
        <f t="shared" si="40"/>
        <v>Mar</v>
      </c>
      <c r="D1323" t="s">
        <v>1522</v>
      </c>
      <c r="E1323" t="s">
        <v>1527</v>
      </c>
      <c r="F1323" t="s">
        <v>1536</v>
      </c>
      <c r="G1323" t="s">
        <v>1543</v>
      </c>
      <c r="H1323" t="s">
        <v>1552</v>
      </c>
      <c r="I1323">
        <v>2024</v>
      </c>
      <c r="J1323" t="s">
        <v>1555</v>
      </c>
      <c r="K1323" t="s">
        <v>1556</v>
      </c>
      <c r="L1323">
        <v>1943607</v>
      </c>
      <c r="M1323">
        <v>1630611</v>
      </c>
      <c r="N1323">
        <v>312996</v>
      </c>
      <c r="O1323">
        <v>37</v>
      </c>
      <c r="P1323" t="str">
        <f t="shared" si="41"/>
        <v>adult</v>
      </c>
      <c r="Q1323" t="s">
        <v>1558</v>
      </c>
      <c r="R1323" t="s">
        <v>1565</v>
      </c>
      <c r="S1323" t="s">
        <v>1567</v>
      </c>
      <c r="T1323">
        <v>28308</v>
      </c>
      <c r="U1323">
        <v>1</v>
      </c>
      <c r="V1323" t="s">
        <v>1586</v>
      </c>
      <c r="W1323" t="s">
        <v>1591</v>
      </c>
      <c r="X1323">
        <v>16.100000000000001</v>
      </c>
    </row>
    <row r="1324" spans="1:24" x14ac:dyDescent="0.25">
      <c r="A1324" t="s">
        <v>1344</v>
      </c>
      <c r="B1324" s="4">
        <v>45896</v>
      </c>
      <c r="C1324" s="4" t="str">
        <f t="shared" si="40"/>
        <v>Aug</v>
      </c>
      <c r="D1324" t="s">
        <v>1522</v>
      </c>
      <c r="E1324" t="s">
        <v>1527</v>
      </c>
      <c r="F1324" t="s">
        <v>1531</v>
      </c>
      <c r="G1324" t="s">
        <v>1545</v>
      </c>
      <c r="H1324" t="s">
        <v>4</v>
      </c>
      <c r="I1324">
        <v>2025</v>
      </c>
      <c r="J1324" t="s">
        <v>1554</v>
      </c>
      <c r="K1324" t="s">
        <v>1557</v>
      </c>
      <c r="L1324">
        <v>1834520</v>
      </c>
      <c r="M1324">
        <v>1537709</v>
      </c>
      <c r="N1324">
        <v>296811</v>
      </c>
      <c r="O1324">
        <v>40</v>
      </c>
      <c r="P1324" t="str">
        <f t="shared" si="41"/>
        <v>adult</v>
      </c>
      <c r="Q1324" t="s">
        <v>1558</v>
      </c>
      <c r="R1324" t="s">
        <v>1561</v>
      </c>
      <c r="S1324" t="s">
        <v>1567</v>
      </c>
      <c r="T1324">
        <v>1280575</v>
      </c>
      <c r="U1324">
        <v>5</v>
      </c>
      <c r="V1324" t="s">
        <v>1585</v>
      </c>
      <c r="W1324" t="s">
        <v>1594</v>
      </c>
      <c r="X1324">
        <v>16.18</v>
      </c>
    </row>
    <row r="1325" spans="1:24" x14ac:dyDescent="0.25">
      <c r="A1325" t="s">
        <v>1345</v>
      </c>
      <c r="B1325" s="4">
        <v>46087</v>
      </c>
      <c r="C1325" s="4" t="str">
        <f t="shared" si="40"/>
        <v>Mar</v>
      </c>
      <c r="D1325" t="s">
        <v>1522</v>
      </c>
      <c r="E1325" t="s">
        <v>1526</v>
      </c>
      <c r="F1325" t="s">
        <v>1530</v>
      </c>
      <c r="G1325" t="s">
        <v>1541</v>
      </c>
      <c r="H1325" t="s">
        <v>1550</v>
      </c>
      <c r="I1325">
        <v>2025</v>
      </c>
      <c r="J1325" t="s">
        <v>1554</v>
      </c>
      <c r="K1325" t="s">
        <v>1556</v>
      </c>
      <c r="L1325">
        <v>1536171</v>
      </c>
      <c r="M1325">
        <v>1293580</v>
      </c>
      <c r="N1325">
        <v>242591</v>
      </c>
      <c r="O1325">
        <v>50</v>
      </c>
      <c r="P1325" t="str">
        <f t="shared" si="41"/>
        <v>adult</v>
      </c>
      <c r="Q1325" t="s">
        <v>1558</v>
      </c>
      <c r="R1325" t="s">
        <v>1566</v>
      </c>
      <c r="S1325" t="s">
        <v>1569</v>
      </c>
      <c r="T1325">
        <v>1517610</v>
      </c>
      <c r="U1325">
        <v>4</v>
      </c>
      <c r="V1325" t="s">
        <v>1586</v>
      </c>
      <c r="W1325" t="s">
        <v>1591</v>
      </c>
      <c r="X1325">
        <v>15.79</v>
      </c>
    </row>
    <row r="1326" spans="1:24" x14ac:dyDescent="0.25">
      <c r="A1326" t="s">
        <v>1346</v>
      </c>
      <c r="B1326" s="4">
        <v>45746</v>
      </c>
      <c r="C1326" s="4" t="str">
        <f t="shared" si="40"/>
        <v>Mar</v>
      </c>
      <c r="D1326" t="s">
        <v>1522</v>
      </c>
      <c r="E1326" t="s">
        <v>1524</v>
      </c>
      <c r="F1326" t="s">
        <v>1536</v>
      </c>
      <c r="G1326" t="s">
        <v>1546</v>
      </c>
      <c r="H1326" t="s">
        <v>1552</v>
      </c>
      <c r="I1326">
        <v>2024</v>
      </c>
      <c r="J1326" t="s">
        <v>1555</v>
      </c>
      <c r="K1326" t="s">
        <v>1556</v>
      </c>
      <c r="L1326">
        <v>1936610</v>
      </c>
      <c r="M1326">
        <v>1770336</v>
      </c>
      <c r="N1326">
        <v>166274</v>
      </c>
      <c r="O1326">
        <v>33</v>
      </c>
      <c r="P1326" t="str">
        <f t="shared" si="41"/>
        <v>adult</v>
      </c>
      <c r="Q1326" t="s">
        <v>1558</v>
      </c>
      <c r="R1326" t="s">
        <v>1563</v>
      </c>
      <c r="S1326" t="s">
        <v>1567</v>
      </c>
      <c r="T1326">
        <v>775281</v>
      </c>
      <c r="U1326">
        <v>5</v>
      </c>
      <c r="V1326" t="s">
        <v>1588</v>
      </c>
      <c r="W1326" t="s">
        <v>1591</v>
      </c>
      <c r="X1326">
        <v>8.59</v>
      </c>
    </row>
    <row r="1327" spans="1:24" x14ac:dyDescent="0.25">
      <c r="A1327" t="s">
        <v>1347</v>
      </c>
      <c r="B1327" s="4">
        <v>46166</v>
      </c>
      <c r="C1327" s="4" t="str">
        <f t="shared" si="40"/>
        <v>May</v>
      </c>
      <c r="D1327" t="s">
        <v>1522</v>
      </c>
      <c r="E1327" t="s">
        <v>1526</v>
      </c>
      <c r="F1327" t="s">
        <v>1531</v>
      </c>
      <c r="G1327" t="s">
        <v>1542</v>
      </c>
      <c r="H1327" t="s">
        <v>1551</v>
      </c>
      <c r="I1327">
        <v>2025</v>
      </c>
      <c r="J1327" t="s">
        <v>1554</v>
      </c>
      <c r="K1327" t="s">
        <v>1557</v>
      </c>
      <c r="L1327">
        <v>976869</v>
      </c>
      <c r="M1327">
        <v>892153</v>
      </c>
      <c r="N1327">
        <v>84716</v>
      </c>
      <c r="O1327">
        <v>31</v>
      </c>
      <c r="P1327" t="str">
        <f t="shared" si="41"/>
        <v>adult</v>
      </c>
      <c r="Q1327" t="s">
        <v>1558</v>
      </c>
      <c r="R1327" t="s">
        <v>1566</v>
      </c>
      <c r="S1327" t="s">
        <v>1570</v>
      </c>
      <c r="T1327">
        <v>24596</v>
      </c>
      <c r="U1327">
        <v>2</v>
      </c>
      <c r="V1327" t="s">
        <v>1590</v>
      </c>
      <c r="W1327" t="s">
        <v>1592</v>
      </c>
      <c r="X1327">
        <v>8.67</v>
      </c>
    </row>
    <row r="1328" spans="1:24" x14ac:dyDescent="0.25">
      <c r="A1328" t="s">
        <v>1348</v>
      </c>
      <c r="B1328" s="4">
        <v>46026</v>
      </c>
      <c r="C1328" s="4" t="str">
        <f t="shared" si="40"/>
        <v>Jan</v>
      </c>
      <c r="D1328" t="s">
        <v>1522</v>
      </c>
      <c r="E1328" t="s">
        <v>1523</v>
      </c>
      <c r="F1328" t="s">
        <v>1528</v>
      </c>
      <c r="G1328" t="s">
        <v>1546</v>
      </c>
      <c r="H1328" t="s">
        <v>4</v>
      </c>
      <c r="I1328">
        <v>2025</v>
      </c>
      <c r="J1328" t="s">
        <v>1554</v>
      </c>
      <c r="K1328" t="s">
        <v>1556</v>
      </c>
      <c r="L1328">
        <v>1676280</v>
      </c>
      <c r="M1328">
        <v>1403797</v>
      </c>
      <c r="N1328">
        <v>272483</v>
      </c>
      <c r="O1328">
        <v>64</v>
      </c>
      <c r="P1328" t="str">
        <f t="shared" si="41"/>
        <v>senior</v>
      </c>
      <c r="Q1328" t="s">
        <v>1558</v>
      </c>
      <c r="R1328" t="s">
        <v>1565</v>
      </c>
      <c r="S1328" t="s">
        <v>1570</v>
      </c>
      <c r="T1328">
        <v>1347605</v>
      </c>
      <c r="U1328">
        <v>3</v>
      </c>
      <c r="V1328" t="s">
        <v>1581</v>
      </c>
      <c r="W1328" t="s">
        <v>1591</v>
      </c>
      <c r="X1328">
        <v>16.260000000000002</v>
      </c>
    </row>
    <row r="1329" spans="1:24" x14ac:dyDescent="0.25">
      <c r="A1329" t="s">
        <v>1349</v>
      </c>
      <c r="B1329" s="4">
        <v>45725</v>
      </c>
      <c r="C1329" s="4" t="str">
        <f t="shared" si="40"/>
        <v>Mar</v>
      </c>
      <c r="D1329" t="s">
        <v>1522</v>
      </c>
      <c r="E1329" t="s">
        <v>1527</v>
      </c>
      <c r="F1329" t="s">
        <v>1528</v>
      </c>
      <c r="G1329" t="s">
        <v>1544</v>
      </c>
      <c r="H1329" t="s">
        <v>1552</v>
      </c>
      <c r="I1329">
        <v>2025</v>
      </c>
      <c r="J1329" t="s">
        <v>1555</v>
      </c>
      <c r="K1329" t="s">
        <v>1556</v>
      </c>
      <c r="L1329">
        <v>1912104</v>
      </c>
      <c r="M1329">
        <v>1683948</v>
      </c>
      <c r="N1329">
        <v>228156</v>
      </c>
      <c r="O1329">
        <v>32</v>
      </c>
      <c r="P1329" t="str">
        <f t="shared" si="41"/>
        <v>adult</v>
      </c>
      <c r="Q1329" t="s">
        <v>1558</v>
      </c>
      <c r="R1329" t="s">
        <v>1563</v>
      </c>
      <c r="S1329" t="s">
        <v>1568</v>
      </c>
      <c r="T1329">
        <v>704422</v>
      </c>
      <c r="U1329">
        <v>1</v>
      </c>
      <c r="V1329" t="s">
        <v>1588</v>
      </c>
      <c r="W1329" t="s">
        <v>1591</v>
      </c>
      <c r="X1329">
        <v>11.93</v>
      </c>
    </row>
    <row r="1330" spans="1:24" x14ac:dyDescent="0.25">
      <c r="A1330" t="s">
        <v>1350</v>
      </c>
      <c r="B1330" s="4">
        <v>45965</v>
      </c>
      <c r="C1330" s="4" t="str">
        <f t="shared" si="40"/>
        <v>Nov</v>
      </c>
      <c r="D1330" t="s">
        <v>1522</v>
      </c>
      <c r="E1330" t="s">
        <v>1526</v>
      </c>
      <c r="F1330" t="s">
        <v>1530</v>
      </c>
      <c r="G1330" t="s">
        <v>1541</v>
      </c>
      <c r="H1330" t="s">
        <v>1551</v>
      </c>
      <c r="I1330">
        <v>2024</v>
      </c>
      <c r="J1330" t="s">
        <v>1554</v>
      </c>
      <c r="K1330" t="s">
        <v>1557</v>
      </c>
      <c r="L1330">
        <v>928377</v>
      </c>
      <c r="M1330">
        <v>825102</v>
      </c>
      <c r="N1330">
        <v>103275</v>
      </c>
      <c r="O1330">
        <v>35</v>
      </c>
      <c r="P1330" t="str">
        <f t="shared" si="41"/>
        <v>adult</v>
      </c>
      <c r="Q1330" t="s">
        <v>1558</v>
      </c>
      <c r="R1330" t="s">
        <v>1565</v>
      </c>
      <c r="S1330" t="s">
        <v>1567</v>
      </c>
      <c r="T1330">
        <v>1684752</v>
      </c>
      <c r="U1330">
        <v>1</v>
      </c>
      <c r="V1330" t="s">
        <v>1583</v>
      </c>
      <c r="W1330" t="s">
        <v>1593</v>
      </c>
      <c r="X1330">
        <v>11.12</v>
      </c>
    </row>
    <row r="1331" spans="1:24" x14ac:dyDescent="0.25">
      <c r="A1331" t="s">
        <v>1351</v>
      </c>
      <c r="B1331" s="4">
        <v>45927</v>
      </c>
      <c r="C1331" s="4" t="str">
        <f t="shared" si="40"/>
        <v>Sep</v>
      </c>
      <c r="D1331" t="s">
        <v>1522</v>
      </c>
      <c r="E1331" t="s">
        <v>1527</v>
      </c>
      <c r="F1331" t="s">
        <v>1536</v>
      </c>
      <c r="G1331" t="s">
        <v>1544</v>
      </c>
      <c r="H1331" t="s">
        <v>4</v>
      </c>
      <c r="I1331">
        <v>2024</v>
      </c>
      <c r="J1331" t="s">
        <v>1554</v>
      </c>
      <c r="K1331" t="s">
        <v>1556</v>
      </c>
      <c r="L1331">
        <v>1780904</v>
      </c>
      <c r="M1331">
        <v>1628215</v>
      </c>
      <c r="N1331">
        <v>152689</v>
      </c>
      <c r="O1331">
        <v>30</v>
      </c>
      <c r="P1331" t="str">
        <f t="shared" si="41"/>
        <v>young</v>
      </c>
      <c r="Q1331" t="s">
        <v>1558</v>
      </c>
      <c r="R1331" t="s">
        <v>1562</v>
      </c>
      <c r="S1331" t="s">
        <v>1570</v>
      </c>
      <c r="T1331">
        <v>533935</v>
      </c>
      <c r="U1331">
        <v>5</v>
      </c>
      <c r="V1331" t="s">
        <v>1577</v>
      </c>
      <c r="W1331" t="s">
        <v>1594</v>
      </c>
      <c r="X1331">
        <v>8.57</v>
      </c>
    </row>
    <row r="1332" spans="1:24" x14ac:dyDescent="0.25">
      <c r="A1332" t="s">
        <v>1352</v>
      </c>
      <c r="B1332" s="4">
        <v>46117</v>
      </c>
      <c r="C1332" s="4" t="str">
        <f t="shared" si="40"/>
        <v>Apr</v>
      </c>
      <c r="D1332" t="s">
        <v>1522</v>
      </c>
      <c r="E1332" t="s">
        <v>1524</v>
      </c>
      <c r="F1332" t="s">
        <v>1534</v>
      </c>
      <c r="G1332" t="s">
        <v>1541</v>
      </c>
      <c r="H1332" t="s">
        <v>1552</v>
      </c>
      <c r="I1332">
        <v>2023</v>
      </c>
      <c r="J1332" t="s">
        <v>1555</v>
      </c>
      <c r="K1332" t="s">
        <v>1556</v>
      </c>
      <c r="L1332">
        <v>1923595</v>
      </c>
      <c r="M1332">
        <v>1743602</v>
      </c>
      <c r="N1332">
        <v>179993</v>
      </c>
      <c r="O1332">
        <v>59</v>
      </c>
      <c r="P1332" t="str">
        <f t="shared" si="41"/>
        <v>senior</v>
      </c>
      <c r="Q1332" t="s">
        <v>1558</v>
      </c>
      <c r="R1332" t="s">
        <v>1563</v>
      </c>
      <c r="S1332" t="s">
        <v>1570</v>
      </c>
      <c r="T1332">
        <v>2076359</v>
      </c>
      <c r="U1332">
        <v>4</v>
      </c>
      <c r="V1332" t="s">
        <v>1580</v>
      </c>
      <c r="W1332" t="s">
        <v>1592</v>
      </c>
      <c r="X1332">
        <v>9.36</v>
      </c>
    </row>
    <row r="1333" spans="1:24" x14ac:dyDescent="0.25">
      <c r="A1333" t="s">
        <v>1353</v>
      </c>
      <c r="B1333" s="4">
        <v>46096</v>
      </c>
      <c r="C1333" s="4" t="str">
        <f t="shared" si="40"/>
        <v>Mar</v>
      </c>
      <c r="D1333" t="s">
        <v>1522</v>
      </c>
      <c r="E1333" t="s">
        <v>1524</v>
      </c>
      <c r="F1333" t="s">
        <v>1529</v>
      </c>
      <c r="G1333" t="s">
        <v>1546</v>
      </c>
      <c r="H1333" t="s">
        <v>1550</v>
      </c>
      <c r="I1333">
        <v>2024</v>
      </c>
      <c r="J1333" t="s">
        <v>1554</v>
      </c>
      <c r="K1333" t="s">
        <v>1557</v>
      </c>
      <c r="L1333">
        <v>1355199</v>
      </c>
      <c r="M1333">
        <v>1219978</v>
      </c>
      <c r="N1333">
        <v>135221</v>
      </c>
      <c r="O1333">
        <v>47</v>
      </c>
      <c r="P1333" t="str">
        <f t="shared" si="41"/>
        <v>adult</v>
      </c>
      <c r="Q1333" t="s">
        <v>1558</v>
      </c>
      <c r="R1333" t="s">
        <v>1561</v>
      </c>
      <c r="S1333" t="s">
        <v>1567</v>
      </c>
      <c r="T1333">
        <v>762541</v>
      </c>
      <c r="U1333">
        <v>3</v>
      </c>
      <c r="V1333" t="s">
        <v>1586</v>
      </c>
      <c r="W1333" t="s">
        <v>1591</v>
      </c>
      <c r="X1333">
        <v>9.98</v>
      </c>
    </row>
    <row r="1334" spans="1:24" x14ac:dyDescent="0.25">
      <c r="A1334" t="s">
        <v>1354</v>
      </c>
      <c r="B1334" s="4">
        <v>45990</v>
      </c>
      <c r="C1334" s="4" t="str">
        <f t="shared" si="40"/>
        <v>Nov</v>
      </c>
      <c r="D1334" t="s">
        <v>1522</v>
      </c>
      <c r="E1334" t="s">
        <v>1525</v>
      </c>
      <c r="F1334" t="s">
        <v>1533</v>
      </c>
      <c r="G1334" t="s">
        <v>1543</v>
      </c>
      <c r="H1334" t="s">
        <v>1552</v>
      </c>
      <c r="I1334">
        <v>2026</v>
      </c>
      <c r="J1334" t="s">
        <v>1555</v>
      </c>
      <c r="K1334" t="s">
        <v>1556</v>
      </c>
      <c r="L1334">
        <v>1933693</v>
      </c>
      <c r="M1334">
        <v>1640542</v>
      </c>
      <c r="N1334">
        <v>293151</v>
      </c>
      <c r="O1334">
        <v>38</v>
      </c>
      <c r="P1334" t="str">
        <f t="shared" si="41"/>
        <v>adult</v>
      </c>
      <c r="Q1334" t="s">
        <v>1558</v>
      </c>
      <c r="R1334" t="s">
        <v>1563</v>
      </c>
      <c r="S1334" t="s">
        <v>1569</v>
      </c>
      <c r="T1334">
        <v>1838417</v>
      </c>
      <c r="U1334">
        <v>3</v>
      </c>
      <c r="V1334" t="s">
        <v>1583</v>
      </c>
      <c r="W1334" t="s">
        <v>1593</v>
      </c>
      <c r="X1334">
        <v>15.16</v>
      </c>
    </row>
    <row r="1335" spans="1:24" x14ac:dyDescent="0.25">
      <c r="A1335" t="s">
        <v>1355</v>
      </c>
      <c r="B1335" s="4">
        <v>45989</v>
      </c>
      <c r="C1335" s="4" t="str">
        <f t="shared" si="40"/>
        <v>Nov</v>
      </c>
      <c r="D1335" t="s">
        <v>1522</v>
      </c>
      <c r="E1335" t="s">
        <v>1526</v>
      </c>
      <c r="F1335" t="s">
        <v>1537</v>
      </c>
      <c r="G1335" t="s">
        <v>1548</v>
      </c>
      <c r="H1335" t="s">
        <v>1550</v>
      </c>
      <c r="I1335">
        <v>2025</v>
      </c>
      <c r="J1335" t="s">
        <v>1554</v>
      </c>
      <c r="K1335" t="s">
        <v>1556</v>
      </c>
      <c r="L1335">
        <v>1205050</v>
      </c>
      <c r="M1335">
        <v>1096821</v>
      </c>
      <c r="N1335">
        <v>108229</v>
      </c>
      <c r="O1335">
        <v>37</v>
      </c>
      <c r="P1335" t="str">
        <f t="shared" si="41"/>
        <v>adult</v>
      </c>
      <c r="Q1335" t="s">
        <v>1559</v>
      </c>
      <c r="R1335" t="s">
        <v>1561</v>
      </c>
      <c r="S1335" t="s">
        <v>1568</v>
      </c>
      <c r="T1335">
        <v>1859329</v>
      </c>
      <c r="U1335">
        <v>1</v>
      </c>
      <c r="V1335" t="s">
        <v>1583</v>
      </c>
      <c r="W1335" t="s">
        <v>1593</v>
      </c>
      <c r="X1335">
        <v>8.98</v>
      </c>
    </row>
    <row r="1336" spans="1:24" x14ac:dyDescent="0.25">
      <c r="A1336" t="s">
        <v>1356</v>
      </c>
      <c r="B1336" s="4">
        <v>45846</v>
      </c>
      <c r="C1336" s="4" t="str">
        <f t="shared" si="40"/>
        <v>Jul</v>
      </c>
      <c r="D1336" t="s">
        <v>1522</v>
      </c>
      <c r="E1336" t="s">
        <v>1527</v>
      </c>
      <c r="F1336" t="s">
        <v>1530</v>
      </c>
      <c r="G1336" t="s">
        <v>1548</v>
      </c>
      <c r="H1336" t="s">
        <v>4</v>
      </c>
      <c r="I1336">
        <v>2025</v>
      </c>
      <c r="J1336" t="s">
        <v>1554</v>
      </c>
      <c r="K1336" t="s">
        <v>1556</v>
      </c>
      <c r="L1336">
        <v>1318040</v>
      </c>
      <c r="M1336">
        <v>1136812</v>
      </c>
      <c r="N1336">
        <v>181228</v>
      </c>
      <c r="O1336">
        <v>22</v>
      </c>
      <c r="P1336" t="str">
        <f t="shared" si="41"/>
        <v>young</v>
      </c>
      <c r="Q1336" t="s">
        <v>1558</v>
      </c>
      <c r="R1336" t="s">
        <v>1562</v>
      </c>
      <c r="S1336" t="s">
        <v>1567</v>
      </c>
      <c r="T1336">
        <v>1115984</v>
      </c>
      <c r="U1336">
        <v>3</v>
      </c>
      <c r="V1336" t="s">
        <v>1579</v>
      </c>
      <c r="W1336" t="s">
        <v>1594</v>
      </c>
      <c r="X1336">
        <v>13.75</v>
      </c>
    </row>
    <row r="1337" spans="1:24" x14ac:dyDescent="0.25">
      <c r="A1337" t="s">
        <v>1357</v>
      </c>
      <c r="B1337" s="4">
        <v>45944</v>
      </c>
      <c r="C1337" s="4" t="str">
        <f t="shared" si="40"/>
        <v>Oct</v>
      </c>
      <c r="D1337" t="s">
        <v>1522</v>
      </c>
      <c r="E1337" t="s">
        <v>1527</v>
      </c>
      <c r="F1337" t="s">
        <v>1529</v>
      </c>
      <c r="G1337" t="s">
        <v>1540</v>
      </c>
      <c r="H1337" t="s">
        <v>1551</v>
      </c>
      <c r="I1337">
        <v>2024</v>
      </c>
      <c r="J1337" t="s">
        <v>1554</v>
      </c>
      <c r="K1337" t="s">
        <v>1557</v>
      </c>
      <c r="L1337">
        <v>727177</v>
      </c>
      <c r="M1337">
        <v>712177</v>
      </c>
      <c r="N1337">
        <v>15000</v>
      </c>
      <c r="O1337">
        <v>37</v>
      </c>
      <c r="P1337" t="str">
        <f t="shared" si="41"/>
        <v>adult</v>
      </c>
      <c r="Q1337" t="s">
        <v>1559</v>
      </c>
      <c r="R1337" t="s">
        <v>1563</v>
      </c>
      <c r="S1337" t="s">
        <v>1567</v>
      </c>
      <c r="T1337">
        <v>808441</v>
      </c>
      <c r="U1337">
        <v>5</v>
      </c>
      <c r="V1337" t="s">
        <v>1574</v>
      </c>
      <c r="W1337" t="s">
        <v>1593</v>
      </c>
      <c r="X1337">
        <v>2.06</v>
      </c>
    </row>
    <row r="1338" spans="1:24" x14ac:dyDescent="0.25">
      <c r="A1338" t="s">
        <v>1358</v>
      </c>
      <c r="B1338" s="4">
        <v>45687</v>
      </c>
      <c r="C1338" s="4" t="str">
        <f t="shared" si="40"/>
        <v>Jan</v>
      </c>
      <c r="D1338" t="s">
        <v>1522</v>
      </c>
      <c r="E1338" t="s">
        <v>1527</v>
      </c>
      <c r="F1338" t="s">
        <v>1534</v>
      </c>
      <c r="G1338" t="s">
        <v>1541</v>
      </c>
      <c r="H1338" t="s">
        <v>1551</v>
      </c>
      <c r="I1338">
        <v>2025</v>
      </c>
      <c r="J1338" t="s">
        <v>1554</v>
      </c>
      <c r="K1338" t="s">
        <v>1557</v>
      </c>
      <c r="L1338">
        <v>951796</v>
      </c>
      <c r="M1338">
        <v>876528</v>
      </c>
      <c r="N1338">
        <v>75268</v>
      </c>
      <c r="O1338">
        <v>65</v>
      </c>
      <c r="P1338" t="str">
        <f t="shared" si="41"/>
        <v>senior</v>
      </c>
      <c r="Q1338" t="s">
        <v>1559</v>
      </c>
      <c r="R1338" t="s">
        <v>1562</v>
      </c>
      <c r="S1338" t="s">
        <v>1569</v>
      </c>
      <c r="T1338">
        <v>1133422</v>
      </c>
      <c r="U1338">
        <v>1</v>
      </c>
      <c r="V1338" t="s">
        <v>1571</v>
      </c>
      <c r="W1338" t="s">
        <v>1591</v>
      </c>
      <c r="X1338">
        <v>7.91</v>
      </c>
    </row>
    <row r="1339" spans="1:24" x14ac:dyDescent="0.25">
      <c r="A1339" t="s">
        <v>1359</v>
      </c>
      <c r="B1339" s="4">
        <v>45946</v>
      </c>
      <c r="C1339" s="4" t="str">
        <f t="shared" si="40"/>
        <v>Oct</v>
      </c>
      <c r="D1339" t="s">
        <v>1522</v>
      </c>
      <c r="E1339" t="s">
        <v>1526</v>
      </c>
      <c r="F1339" t="s">
        <v>1528</v>
      </c>
      <c r="G1339" t="s">
        <v>1542</v>
      </c>
      <c r="H1339" t="s">
        <v>1551</v>
      </c>
      <c r="I1339">
        <v>2024</v>
      </c>
      <c r="J1339" t="s">
        <v>1554</v>
      </c>
      <c r="K1339" t="s">
        <v>1556</v>
      </c>
      <c r="L1339">
        <v>957792</v>
      </c>
      <c r="M1339">
        <v>904747</v>
      </c>
      <c r="N1339">
        <v>53045</v>
      </c>
      <c r="O1339">
        <v>60</v>
      </c>
      <c r="P1339" t="str">
        <f t="shared" si="41"/>
        <v>senior</v>
      </c>
      <c r="Q1339" t="s">
        <v>1559</v>
      </c>
      <c r="R1339" t="s">
        <v>1561</v>
      </c>
      <c r="S1339" t="s">
        <v>1568</v>
      </c>
      <c r="T1339">
        <v>438864</v>
      </c>
      <c r="U1339">
        <v>5</v>
      </c>
      <c r="V1339" t="s">
        <v>1574</v>
      </c>
      <c r="W1339" t="s">
        <v>1593</v>
      </c>
      <c r="X1339">
        <v>5.54</v>
      </c>
    </row>
    <row r="1340" spans="1:24" x14ac:dyDescent="0.25">
      <c r="A1340" t="s">
        <v>1360</v>
      </c>
      <c r="B1340" s="4">
        <v>46037</v>
      </c>
      <c r="C1340" s="4" t="str">
        <f t="shared" si="40"/>
        <v>Jan</v>
      </c>
      <c r="D1340" t="s">
        <v>1522</v>
      </c>
      <c r="E1340" t="s">
        <v>1527</v>
      </c>
      <c r="F1340" t="s">
        <v>1528</v>
      </c>
      <c r="G1340" t="s">
        <v>1539</v>
      </c>
      <c r="H1340" t="s">
        <v>4</v>
      </c>
      <c r="I1340">
        <v>2024</v>
      </c>
      <c r="J1340" t="s">
        <v>1554</v>
      </c>
      <c r="K1340" t="s">
        <v>1556</v>
      </c>
      <c r="L1340">
        <v>1429069</v>
      </c>
      <c r="M1340">
        <v>1297099</v>
      </c>
      <c r="N1340">
        <v>131970</v>
      </c>
      <c r="O1340">
        <v>63</v>
      </c>
      <c r="P1340" t="str">
        <f t="shared" si="41"/>
        <v>senior</v>
      </c>
      <c r="Q1340" t="s">
        <v>1558</v>
      </c>
      <c r="R1340" t="s">
        <v>1563</v>
      </c>
      <c r="S1340" t="s">
        <v>1567</v>
      </c>
      <c r="T1340">
        <v>681067</v>
      </c>
      <c r="U1340">
        <v>5</v>
      </c>
      <c r="V1340" t="s">
        <v>1581</v>
      </c>
      <c r="W1340" t="s">
        <v>1591</v>
      </c>
      <c r="X1340">
        <v>9.23</v>
      </c>
    </row>
    <row r="1341" spans="1:24" x14ac:dyDescent="0.25">
      <c r="A1341" t="s">
        <v>1361</v>
      </c>
      <c r="B1341" s="4">
        <v>46240</v>
      </c>
      <c r="C1341" s="4" t="str">
        <f t="shared" si="40"/>
        <v>Aug</v>
      </c>
      <c r="D1341" t="s">
        <v>1522</v>
      </c>
      <c r="E1341" t="s">
        <v>1527</v>
      </c>
      <c r="F1341" t="s">
        <v>1530</v>
      </c>
      <c r="G1341" t="s">
        <v>1549</v>
      </c>
      <c r="H1341" t="s">
        <v>4</v>
      </c>
      <c r="I1341">
        <v>2026</v>
      </c>
      <c r="J1341" t="s">
        <v>1554</v>
      </c>
      <c r="K1341" t="s">
        <v>1556</v>
      </c>
      <c r="L1341">
        <v>1647845</v>
      </c>
      <c r="M1341">
        <v>1366423</v>
      </c>
      <c r="N1341">
        <v>281422</v>
      </c>
      <c r="O1341">
        <v>58</v>
      </c>
      <c r="P1341" t="str">
        <f t="shared" si="41"/>
        <v>senior</v>
      </c>
      <c r="Q1341" t="s">
        <v>1559</v>
      </c>
      <c r="R1341" t="s">
        <v>1566</v>
      </c>
      <c r="S1341" t="s">
        <v>1568</v>
      </c>
      <c r="T1341">
        <v>631374</v>
      </c>
      <c r="U1341">
        <v>5</v>
      </c>
      <c r="V1341" t="s">
        <v>1576</v>
      </c>
      <c r="W1341" t="s">
        <v>1594</v>
      </c>
      <c r="X1341">
        <v>17.079999999999998</v>
      </c>
    </row>
    <row r="1342" spans="1:24" x14ac:dyDescent="0.25">
      <c r="A1342" t="s">
        <v>1362</v>
      </c>
      <c r="B1342" s="4">
        <v>46036</v>
      </c>
      <c r="C1342" s="4" t="str">
        <f t="shared" si="40"/>
        <v>Jan</v>
      </c>
      <c r="D1342" t="s">
        <v>1522</v>
      </c>
      <c r="E1342" t="s">
        <v>1527</v>
      </c>
      <c r="F1342" t="s">
        <v>1531</v>
      </c>
      <c r="G1342" t="s">
        <v>1544</v>
      </c>
      <c r="H1342" t="s">
        <v>4</v>
      </c>
      <c r="I1342">
        <v>2025</v>
      </c>
      <c r="J1342" t="s">
        <v>1554</v>
      </c>
      <c r="K1342" t="s">
        <v>1556</v>
      </c>
      <c r="L1342">
        <v>1746896</v>
      </c>
      <c r="M1342">
        <v>1448165</v>
      </c>
      <c r="N1342">
        <v>298731</v>
      </c>
      <c r="O1342">
        <v>21</v>
      </c>
      <c r="P1342" t="str">
        <f t="shared" si="41"/>
        <v>young</v>
      </c>
      <c r="Q1342" t="s">
        <v>1559</v>
      </c>
      <c r="R1342" t="s">
        <v>1564</v>
      </c>
      <c r="S1342" t="s">
        <v>1567</v>
      </c>
      <c r="T1342">
        <v>1510386</v>
      </c>
      <c r="U1342">
        <v>2</v>
      </c>
      <c r="V1342" t="s">
        <v>1581</v>
      </c>
      <c r="W1342" t="s">
        <v>1591</v>
      </c>
      <c r="X1342">
        <v>17.100000000000001</v>
      </c>
    </row>
    <row r="1343" spans="1:24" x14ac:dyDescent="0.25">
      <c r="A1343" t="s">
        <v>1363</v>
      </c>
      <c r="B1343" s="4">
        <v>46104</v>
      </c>
      <c r="C1343" s="4" t="str">
        <f t="shared" si="40"/>
        <v>Mar</v>
      </c>
      <c r="D1343" t="s">
        <v>1522</v>
      </c>
      <c r="E1343" t="s">
        <v>1526</v>
      </c>
      <c r="F1343" t="s">
        <v>1534</v>
      </c>
      <c r="G1343" t="s">
        <v>1545</v>
      </c>
      <c r="H1343" t="s">
        <v>4</v>
      </c>
      <c r="I1343">
        <v>2024</v>
      </c>
      <c r="J1343" t="s">
        <v>1554</v>
      </c>
      <c r="K1343" t="s">
        <v>1557</v>
      </c>
      <c r="L1343">
        <v>1364862</v>
      </c>
      <c r="M1343">
        <v>1248108</v>
      </c>
      <c r="N1343">
        <v>116754</v>
      </c>
      <c r="O1343">
        <v>43</v>
      </c>
      <c r="P1343" t="str">
        <f t="shared" si="41"/>
        <v>adult</v>
      </c>
      <c r="Q1343" t="s">
        <v>1558</v>
      </c>
      <c r="R1343" t="s">
        <v>1565</v>
      </c>
      <c r="S1343" t="s">
        <v>1568</v>
      </c>
      <c r="T1343">
        <v>443210</v>
      </c>
      <c r="U1343">
        <v>2</v>
      </c>
      <c r="V1343" t="s">
        <v>1586</v>
      </c>
      <c r="W1343" t="s">
        <v>1591</v>
      </c>
      <c r="X1343">
        <v>8.5500000000000007</v>
      </c>
    </row>
    <row r="1344" spans="1:24" x14ac:dyDescent="0.25">
      <c r="A1344" t="s">
        <v>1364</v>
      </c>
      <c r="B1344" s="4">
        <v>45845</v>
      </c>
      <c r="C1344" s="4" t="str">
        <f t="shared" si="40"/>
        <v>Jul</v>
      </c>
      <c r="D1344" t="s">
        <v>1522</v>
      </c>
      <c r="E1344" t="s">
        <v>1525</v>
      </c>
      <c r="F1344" t="s">
        <v>1534</v>
      </c>
      <c r="G1344" t="s">
        <v>1544</v>
      </c>
      <c r="H1344" t="s">
        <v>4</v>
      </c>
      <c r="I1344">
        <v>2025</v>
      </c>
      <c r="J1344" t="s">
        <v>1554</v>
      </c>
      <c r="K1344" t="s">
        <v>1556</v>
      </c>
      <c r="L1344">
        <v>1625356</v>
      </c>
      <c r="M1344">
        <v>1534490</v>
      </c>
      <c r="N1344">
        <v>90866</v>
      </c>
      <c r="O1344">
        <v>34</v>
      </c>
      <c r="P1344" t="str">
        <f t="shared" si="41"/>
        <v>adult</v>
      </c>
      <c r="Q1344" t="s">
        <v>1559</v>
      </c>
      <c r="R1344" t="s">
        <v>1561</v>
      </c>
      <c r="S1344" t="s">
        <v>1570</v>
      </c>
      <c r="T1344">
        <v>1720161</v>
      </c>
      <c r="U1344">
        <v>4</v>
      </c>
      <c r="V1344" t="s">
        <v>1579</v>
      </c>
      <c r="W1344" t="s">
        <v>1594</v>
      </c>
      <c r="X1344">
        <v>5.59</v>
      </c>
    </row>
    <row r="1345" spans="1:24" x14ac:dyDescent="0.25">
      <c r="A1345" t="s">
        <v>1365</v>
      </c>
      <c r="B1345" s="4">
        <v>45686</v>
      </c>
      <c r="C1345" s="4" t="str">
        <f t="shared" si="40"/>
        <v>Jan</v>
      </c>
      <c r="D1345" t="s">
        <v>1522</v>
      </c>
      <c r="E1345" t="s">
        <v>1527</v>
      </c>
      <c r="F1345" t="s">
        <v>1529</v>
      </c>
      <c r="G1345" t="s">
        <v>1546</v>
      </c>
      <c r="H1345" t="s">
        <v>1551</v>
      </c>
      <c r="I1345">
        <v>2024</v>
      </c>
      <c r="J1345" t="s">
        <v>1554</v>
      </c>
      <c r="K1345" t="s">
        <v>1556</v>
      </c>
      <c r="L1345">
        <v>771406</v>
      </c>
      <c r="M1345">
        <v>662216</v>
      </c>
      <c r="N1345">
        <v>109190</v>
      </c>
      <c r="O1345">
        <v>63</v>
      </c>
      <c r="P1345" t="str">
        <f t="shared" si="41"/>
        <v>senior</v>
      </c>
      <c r="Q1345" t="s">
        <v>1560</v>
      </c>
      <c r="R1345" t="s">
        <v>1564</v>
      </c>
      <c r="S1345" t="s">
        <v>1567</v>
      </c>
      <c r="T1345">
        <v>73335</v>
      </c>
      <c r="U1345">
        <v>4</v>
      </c>
      <c r="V1345" t="s">
        <v>1571</v>
      </c>
      <c r="W1345" t="s">
        <v>1591</v>
      </c>
      <c r="X1345">
        <v>14.15</v>
      </c>
    </row>
    <row r="1346" spans="1:24" x14ac:dyDescent="0.25">
      <c r="A1346" t="s">
        <v>1366</v>
      </c>
      <c r="B1346" s="4">
        <v>45990</v>
      </c>
      <c r="C1346" s="4" t="str">
        <f t="shared" si="40"/>
        <v>Nov</v>
      </c>
      <c r="D1346" t="s">
        <v>1522</v>
      </c>
      <c r="E1346" t="s">
        <v>1523</v>
      </c>
      <c r="F1346" t="s">
        <v>1528</v>
      </c>
      <c r="G1346" t="s">
        <v>1543</v>
      </c>
      <c r="H1346" t="s">
        <v>1550</v>
      </c>
      <c r="I1346">
        <v>2025</v>
      </c>
      <c r="J1346" t="s">
        <v>1554</v>
      </c>
      <c r="K1346" t="s">
        <v>1557</v>
      </c>
      <c r="L1346">
        <v>1365568</v>
      </c>
      <c r="M1346">
        <v>1228156</v>
      </c>
      <c r="N1346">
        <v>137412</v>
      </c>
      <c r="O1346">
        <v>63</v>
      </c>
      <c r="P1346" t="str">
        <f t="shared" si="41"/>
        <v>senior</v>
      </c>
      <c r="Q1346" t="s">
        <v>1559</v>
      </c>
      <c r="R1346" t="s">
        <v>1566</v>
      </c>
      <c r="S1346" t="s">
        <v>1568</v>
      </c>
      <c r="T1346">
        <v>1803512</v>
      </c>
      <c r="U1346">
        <v>5</v>
      </c>
      <c r="V1346" t="s">
        <v>1583</v>
      </c>
      <c r="W1346" t="s">
        <v>1593</v>
      </c>
      <c r="X1346">
        <v>10.06</v>
      </c>
    </row>
    <row r="1347" spans="1:24" x14ac:dyDescent="0.25">
      <c r="A1347" t="s">
        <v>1367</v>
      </c>
      <c r="B1347" s="4">
        <v>45729</v>
      </c>
      <c r="C1347" s="4" t="str">
        <f t="shared" ref="C1347:C1410" si="42">TEXT(B1347,"MMM")</f>
        <v>Mar</v>
      </c>
      <c r="D1347" t="s">
        <v>1522</v>
      </c>
      <c r="E1347" t="s">
        <v>1525</v>
      </c>
      <c r="F1347" t="s">
        <v>1530</v>
      </c>
      <c r="G1347" t="s">
        <v>1540</v>
      </c>
      <c r="H1347" t="s">
        <v>1551</v>
      </c>
      <c r="I1347">
        <v>2024</v>
      </c>
      <c r="J1347" t="s">
        <v>1554</v>
      </c>
      <c r="K1347" t="s">
        <v>1557</v>
      </c>
      <c r="L1347">
        <v>991891</v>
      </c>
      <c r="M1347">
        <v>876884</v>
      </c>
      <c r="N1347">
        <v>115007</v>
      </c>
      <c r="O1347">
        <v>27</v>
      </c>
      <c r="P1347" t="str">
        <f t="shared" ref="P1347:P1410" si="43">IF(O1347&gt;50,"senior",IF(O1347&gt;30,"adult","young"))</f>
        <v>young</v>
      </c>
      <c r="Q1347" t="s">
        <v>1558</v>
      </c>
      <c r="R1347" t="s">
        <v>1566</v>
      </c>
      <c r="S1347" t="s">
        <v>1570</v>
      </c>
      <c r="T1347">
        <v>614028</v>
      </c>
      <c r="U1347">
        <v>5</v>
      </c>
      <c r="V1347" t="s">
        <v>1588</v>
      </c>
      <c r="W1347" t="s">
        <v>1591</v>
      </c>
      <c r="X1347">
        <v>11.59</v>
      </c>
    </row>
    <row r="1348" spans="1:24" x14ac:dyDescent="0.25">
      <c r="A1348" t="s">
        <v>1368</v>
      </c>
      <c r="B1348" s="4">
        <v>45706</v>
      </c>
      <c r="C1348" s="4" t="str">
        <f t="shared" si="42"/>
        <v>Feb</v>
      </c>
      <c r="D1348" t="s">
        <v>1522</v>
      </c>
      <c r="E1348" t="s">
        <v>1524</v>
      </c>
      <c r="F1348" t="s">
        <v>1536</v>
      </c>
      <c r="G1348" t="s">
        <v>1545</v>
      </c>
      <c r="H1348" t="s">
        <v>1551</v>
      </c>
      <c r="I1348">
        <v>2026</v>
      </c>
      <c r="J1348" t="s">
        <v>1554</v>
      </c>
      <c r="K1348" t="s">
        <v>1556</v>
      </c>
      <c r="L1348">
        <v>913794</v>
      </c>
      <c r="M1348">
        <v>785918</v>
      </c>
      <c r="N1348">
        <v>127876</v>
      </c>
      <c r="O1348">
        <v>27</v>
      </c>
      <c r="P1348" t="str">
        <f t="shared" si="43"/>
        <v>young</v>
      </c>
      <c r="Q1348" t="s">
        <v>1558</v>
      </c>
      <c r="R1348" t="s">
        <v>1565</v>
      </c>
      <c r="S1348" t="s">
        <v>1568</v>
      </c>
      <c r="T1348">
        <v>661477</v>
      </c>
      <c r="U1348">
        <v>2</v>
      </c>
      <c r="V1348" t="s">
        <v>1578</v>
      </c>
      <c r="W1348" t="s">
        <v>1591</v>
      </c>
      <c r="X1348">
        <v>13.99</v>
      </c>
    </row>
    <row r="1349" spans="1:24" x14ac:dyDescent="0.25">
      <c r="A1349" t="s">
        <v>1369</v>
      </c>
      <c r="B1349" s="4">
        <v>45966</v>
      </c>
      <c r="C1349" s="4" t="str">
        <f t="shared" si="42"/>
        <v>Nov</v>
      </c>
      <c r="D1349" t="s">
        <v>1522</v>
      </c>
      <c r="E1349" t="s">
        <v>1524</v>
      </c>
      <c r="F1349" t="s">
        <v>1529</v>
      </c>
      <c r="G1349" t="s">
        <v>1545</v>
      </c>
      <c r="H1349" t="s">
        <v>4</v>
      </c>
      <c r="I1349">
        <v>2026</v>
      </c>
      <c r="J1349" t="s">
        <v>1554</v>
      </c>
      <c r="K1349" t="s">
        <v>1557</v>
      </c>
      <c r="L1349">
        <v>1407482</v>
      </c>
      <c r="M1349">
        <v>1131571</v>
      </c>
      <c r="N1349">
        <v>275911</v>
      </c>
      <c r="O1349">
        <v>34</v>
      </c>
      <c r="P1349" t="str">
        <f t="shared" si="43"/>
        <v>adult</v>
      </c>
      <c r="Q1349" t="s">
        <v>1558</v>
      </c>
      <c r="R1349" t="s">
        <v>1562</v>
      </c>
      <c r="S1349" t="s">
        <v>1567</v>
      </c>
      <c r="T1349">
        <v>203214</v>
      </c>
      <c r="U1349">
        <v>4</v>
      </c>
      <c r="V1349" t="s">
        <v>1583</v>
      </c>
      <c r="W1349" t="s">
        <v>1593</v>
      </c>
      <c r="X1349">
        <v>19.600000000000001</v>
      </c>
    </row>
    <row r="1350" spans="1:24" x14ac:dyDescent="0.25">
      <c r="A1350" t="s">
        <v>1370</v>
      </c>
      <c r="B1350" s="4">
        <v>45967</v>
      </c>
      <c r="C1350" s="4" t="str">
        <f t="shared" si="42"/>
        <v>Nov</v>
      </c>
      <c r="D1350" t="s">
        <v>1522</v>
      </c>
      <c r="E1350" t="s">
        <v>1524</v>
      </c>
      <c r="F1350" t="s">
        <v>1534</v>
      </c>
      <c r="G1350" t="s">
        <v>1542</v>
      </c>
      <c r="H1350" t="s">
        <v>4</v>
      </c>
      <c r="I1350">
        <v>2025</v>
      </c>
      <c r="J1350" t="s">
        <v>1554</v>
      </c>
      <c r="K1350" t="s">
        <v>1556</v>
      </c>
      <c r="L1350">
        <v>1488706</v>
      </c>
      <c r="M1350">
        <v>1232736</v>
      </c>
      <c r="N1350">
        <v>255970</v>
      </c>
      <c r="O1350">
        <v>21</v>
      </c>
      <c r="P1350" t="str">
        <f t="shared" si="43"/>
        <v>young</v>
      </c>
      <c r="Q1350" t="s">
        <v>1559</v>
      </c>
      <c r="R1350" t="s">
        <v>1561</v>
      </c>
      <c r="S1350" t="s">
        <v>1569</v>
      </c>
      <c r="T1350">
        <v>1769743</v>
      </c>
      <c r="U1350">
        <v>3</v>
      </c>
      <c r="V1350" t="s">
        <v>1583</v>
      </c>
      <c r="W1350" t="s">
        <v>1593</v>
      </c>
      <c r="X1350">
        <v>17.190000000000001</v>
      </c>
    </row>
    <row r="1351" spans="1:24" x14ac:dyDescent="0.25">
      <c r="A1351" t="s">
        <v>1371</v>
      </c>
      <c r="B1351" s="4">
        <v>45742</v>
      </c>
      <c r="C1351" s="4" t="str">
        <f t="shared" si="42"/>
        <v>Mar</v>
      </c>
      <c r="D1351" t="s">
        <v>1522</v>
      </c>
      <c r="E1351" t="s">
        <v>1524</v>
      </c>
      <c r="F1351" t="s">
        <v>1537</v>
      </c>
      <c r="G1351" t="s">
        <v>1545</v>
      </c>
      <c r="H1351" t="s">
        <v>4</v>
      </c>
      <c r="I1351">
        <v>2023</v>
      </c>
      <c r="J1351" t="s">
        <v>1554</v>
      </c>
      <c r="K1351" t="s">
        <v>1556</v>
      </c>
      <c r="L1351">
        <v>1852405</v>
      </c>
      <c r="M1351">
        <v>1711924</v>
      </c>
      <c r="N1351">
        <v>140481</v>
      </c>
      <c r="O1351">
        <v>53</v>
      </c>
      <c r="P1351" t="str">
        <f t="shared" si="43"/>
        <v>senior</v>
      </c>
      <c r="Q1351" t="s">
        <v>1558</v>
      </c>
      <c r="R1351" t="s">
        <v>1566</v>
      </c>
      <c r="S1351" t="s">
        <v>1568</v>
      </c>
      <c r="T1351">
        <v>1735213</v>
      </c>
      <c r="U1351">
        <v>1</v>
      </c>
      <c r="V1351" t="s">
        <v>1588</v>
      </c>
      <c r="W1351" t="s">
        <v>1591</v>
      </c>
      <c r="X1351">
        <v>7.58</v>
      </c>
    </row>
    <row r="1352" spans="1:24" x14ac:dyDescent="0.25">
      <c r="A1352" t="s">
        <v>1372</v>
      </c>
      <c r="B1352" s="4">
        <v>45911</v>
      </c>
      <c r="C1352" s="4" t="str">
        <f t="shared" si="42"/>
        <v>Sep</v>
      </c>
      <c r="D1352" t="s">
        <v>1522</v>
      </c>
      <c r="E1352" t="s">
        <v>1525</v>
      </c>
      <c r="F1352" t="s">
        <v>1535</v>
      </c>
      <c r="G1352" t="s">
        <v>1549</v>
      </c>
      <c r="H1352" t="s">
        <v>4</v>
      </c>
      <c r="I1352">
        <v>2024</v>
      </c>
      <c r="J1352" t="s">
        <v>1554</v>
      </c>
      <c r="K1352" t="s">
        <v>1557</v>
      </c>
      <c r="L1352">
        <v>1612339</v>
      </c>
      <c r="M1352">
        <v>1480720</v>
      </c>
      <c r="N1352">
        <v>131619</v>
      </c>
      <c r="O1352">
        <v>54</v>
      </c>
      <c r="P1352" t="str">
        <f t="shared" si="43"/>
        <v>senior</v>
      </c>
      <c r="Q1352" t="s">
        <v>1558</v>
      </c>
      <c r="R1352" t="s">
        <v>1565</v>
      </c>
      <c r="S1352" t="s">
        <v>1567</v>
      </c>
      <c r="T1352">
        <v>419492</v>
      </c>
      <c r="U1352">
        <v>2</v>
      </c>
      <c r="V1352" t="s">
        <v>1577</v>
      </c>
      <c r="W1352" t="s">
        <v>1594</v>
      </c>
      <c r="X1352">
        <v>8.16</v>
      </c>
    </row>
    <row r="1353" spans="1:24" x14ac:dyDescent="0.25">
      <c r="A1353" t="s">
        <v>1373</v>
      </c>
      <c r="B1353" s="4">
        <v>45967</v>
      </c>
      <c r="C1353" s="4" t="str">
        <f t="shared" si="42"/>
        <v>Nov</v>
      </c>
      <c r="D1353" t="s">
        <v>1522</v>
      </c>
      <c r="E1353" t="s">
        <v>1527</v>
      </c>
      <c r="F1353" t="s">
        <v>1533</v>
      </c>
      <c r="G1353" t="s">
        <v>1541</v>
      </c>
      <c r="H1353" t="s">
        <v>4</v>
      </c>
      <c r="I1353">
        <v>2024</v>
      </c>
      <c r="J1353" t="s">
        <v>1554</v>
      </c>
      <c r="K1353" t="s">
        <v>1557</v>
      </c>
      <c r="L1353">
        <v>1693325</v>
      </c>
      <c r="M1353">
        <v>1364690</v>
      </c>
      <c r="N1353">
        <v>328635</v>
      </c>
      <c r="O1353">
        <v>41</v>
      </c>
      <c r="P1353" t="str">
        <f t="shared" si="43"/>
        <v>adult</v>
      </c>
      <c r="Q1353" t="s">
        <v>1559</v>
      </c>
      <c r="R1353" t="s">
        <v>1562</v>
      </c>
      <c r="S1353" t="s">
        <v>1568</v>
      </c>
      <c r="T1353">
        <v>1563306</v>
      </c>
      <c r="U1353">
        <v>1</v>
      </c>
      <c r="V1353" t="s">
        <v>1583</v>
      </c>
      <c r="W1353" t="s">
        <v>1593</v>
      </c>
      <c r="X1353">
        <v>19.41</v>
      </c>
    </row>
    <row r="1354" spans="1:24" x14ac:dyDescent="0.25">
      <c r="A1354" t="s">
        <v>1374</v>
      </c>
      <c r="B1354" s="4">
        <v>46188</v>
      </c>
      <c r="C1354" s="4" t="str">
        <f t="shared" si="42"/>
        <v>Jun</v>
      </c>
      <c r="D1354" t="s">
        <v>1522</v>
      </c>
      <c r="E1354" t="s">
        <v>1523</v>
      </c>
      <c r="F1354" t="s">
        <v>1534</v>
      </c>
      <c r="G1354" t="s">
        <v>1546</v>
      </c>
      <c r="H1354" t="s">
        <v>1551</v>
      </c>
      <c r="I1354">
        <v>2024</v>
      </c>
      <c r="J1354" t="s">
        <v>1554</v>
      </c>
      <c r="K1354" t="s">
        <v>1556</v>
      </c>
      <c r="L1354">
        <v>1012208</v>
      </c>
      <c r="M1354">
        <v>862568</v>
      </c>
      <c r="N1354">
        <v>149640</v>
      </c>
      <c r="O1354">
        <v>28</v>
      </c>
      <c r="P1354" t="str">
        <f t="shared" si="43"/>
        <v>young</v>
      </c>
      <c r="Q1354" t="s">
        <v>1558</v>
      </c>
      <c r="R1354" t="s">
        <v>1561</v>
      </c>
      <c r="S1354" t="s">
        <v>1569</v>
      </c>
      <c r="T1354">
        <v>294429</v>
      </c>
      <c r="U1354">
        <v>3</v>
      </c>
      <c r="V1354" t="s">
        <v>1582</v>
      </c>
      <c r="W1354" t="s">
        <v>1592</v>
      </c>
      <c r="X1354">
        <v>14.78</v>
      </c>
    </row>
    <row r="1355" spans="1:24" x14ac:dyDescent="0.25">
      <c r="A1355" t="s">
        <v>1375</v>
      </c>
      <c r="B1355" s="4">
        <v>45708</v>
      </c>
      <c r="C1355" s="4" t="str">
        <f t="shared" si="42"/>
        <v>Feb</v>
      </c>
      <c r="D1355" t="s">
        <v>1522</v>
      </c>
      <c r="E1355" t="s">
        <v>1527</v>
      </c>
      <c r="F1355" t="s">
        <v>1536</v>
      </c>
      <c r="G1355" t="s">
        <v>1539</v>
      </c>
      <c r="H1355" t="s">
        <v>4</v>
      </c>
      <c r="I1355">
        <v>2023</v>
      </c>
      <c r="J1355" t="s">
        <v>1554</v>
      </c>
      <c r="K1355" t="s">
        <v>1557</v>
      </c>
      <c r="L1355">
        <v>1671985</v>
      </c>
      <c r="M1355">
        <v>1402731</v>
      </c>
      <c r="N1355">
        <v>269254</v>
      </c>
      <c r="O1355">
        <v>64</v>
      </c>
      <c r="P1355" t="str">
        <f t="shared" si="43"/>
        <v>senior</v>
      </c>
      <c r="Q1355" t="s">
        <v>1558</v>
      </c>
      <c r="R1355" t="s">
        <v>1565</v>
      </c>
      <c r="S1355" t="s">
        <v>1568</v>
      </c>
      <c r="T1355">
        <v>1041693</v>
      </c>
      <c r="U1355">
        <v>2</v>
      </c>
      <c r="V1355" t="s">
        <v>1578</v>
      </c>
      <c r="W1355" t="s">
        <v>1591</v>
      </c>
      <c r="X1355">
        <v>16.100000000000001</v>
      </c>
    </row>
    <row r="1356" spans="1:24" x14ac:dyDescent="0.25">
      <c r="A1356" t="s">
        <v>1376</v>
      </c>
      <c r="B1356" s="4">
        <v>46188</v>
      </c>
      <c r="C1356" s="4" t="str">
        <f t="shared" si="42"/>
        <v>Jun</v>
      </c>
      <c r="D1356" t="s">
        <v>1522</v>
      </c>
      <c r="E1356" t="s">
        <v>1523</v>
      </c>
      <c r="F1356" t="s">
        <v>1529</v>
      </c>
      <c r="G1356" t="s">
        <v>1544</v>
      </c>
      <c r="H1356" t="s">
        <v>4</v>
      </c>
      <c r="I1356">
        <v>2025</v>
      </c>
      <c r="J1356" t="s">
        <v>1554</v>
      </c>
      <c r="K1356" t="s">
        <v>1557</v>
      </c>
      <c r="L1356">
        <v>1669002</v>
      </c>
      <c r="M1356">
        <v>1522316</v>
      </c>
      <c r="N1356">
        <v>146686</v>
      </c>
      <c r="O1356">
        <v>65</v>
      </c>
      <c r="P1356" t="str">
        <f t="shared" si="43"/>
        <v>senior</v>
      </c>
      <c r="Q1356" t="s">
        <v>1559</v>
      </c>
      <c r="R1356" t="s">
        <v>1561</v>
      </c>
      <c r="S1356" t="s">
        <v>1568</v>
      </c>
      <c r="T1356">
        <v>1366412</v>
      </c>
      <c r="U1356">
        <v>4</v>
      </c>
      <c r="V1356" t="s">
        <v>1582</v>
      </c>
      <c r="W1356" t="s">
        <v>1592</v>
      </c>
      <c r="X1356">
        <v>8.7899999999999991</v>
      </c>
    </row>
    <row r="1357" spans="1:24" x14ac:dyDescent="0.25">
      <c r="A1357" t="s">
        <v>1377</v>
      </c>
      <c r="B1357" s="4">
        <v>46133</v>
      </c>
      <c r="C1357" s="4" t="str">
        <f t="shared" si="42"/>
        <v>Apr</v>
      </c>
      <c r="D1357" t="s">
        <v>1522</v>
      </c>
      <c r="E1357" t="s">
        <v>1526</v>
      </c>
      <c r="F1357" t="s">
        <v>1528</v>
      </c>
      <c r="G1357" t="s">
        <v>1544</v>
      </c>
      <c r="H1357" t="s">
        <v>1550</v>
      </c>
      <c r="I1357">
        <v>2024</v>
      </c>
      <c r="J1357" t="s">
        <v>1554</v>
      </c>
      <c r="K1357" t="s">
        <v>1557</v>
      </c>
      <c r="L1357">
        <v>1437786</v>
      </c>
      <c r="M1357">
        <v>1273035</v>
      </c>
      <c r="N1357">
        <v>164751</v>
      </c>
      <c r="O1357">
        <v>51</v>
      </c>
      <c r="P1357" t="str">
        <f t="shared" si="43"/>
        <v>senior</v>
      </c>
      <c r="Q1357" t="s">
        <v>1558</v>
      </c>
      <c r="R1357" t="s">
        <v>1561</v>
      </c>
      <c r="S1357" t="s">
        <v>1568</v>
      </c>
      <c r="T1357">
        <v>1069098</v>
      </c>
      <c r="U1357">
        <v>5</v>
      </c>
      <c r="V1357" t="s">
        <v>1580</v>
      </c>
      <c r="W1357" t="s">
        <v>1592</v>
      </c>
      <c r="X1357">
        <v>11.46</v>
      </c>
    </row>
    <row r="1358" spans="1:24" x14ac:dyDescent="0.25">
      <c r="A1358" t="s">
        <v>1378</v>
      </c>
      <c r="B1358" s="4">
        <v>45857</v>
      </c>
      <c r="C1358" s="4" t="str">
        <f t="shared" si="42"/>
        <v>Jul</v>
      </c>
      <c r="D1358" t="s">
        <v>1522</v>
      </c>
      <c r="E1358" t="s">
        <v>1524</v>
      </c>
      <c r="F1358" t="s">
        <v>1535</v>
      </c>
      <c r="G1358" t="s">
        <v>1546</v>
      </c>
      <c r="H1358" t="s">
        <v>4</v>
      </c>
      <c r="I1358">
        <v>2023</v>
      </c>
      <c r="J1358" t="s">
        <v>1553</v>
      </c>
      <c r="K1358" t="s">
        <v>1557</v>
      </c>
      <c r="L1358">
        <v>1375850</v>
      </c>
      <c r="M1358">
        <v>1225247</v>
      </c>
      <c r="N1358">
        <v>150603</v>
      </c>
      <c r="O1358">
        <v>53</v>
      </c>
      <c r="P1358" t="str">
        <f t="shared" si="43"/>
        <v>senior</v>
      </c>
      <c r="Q1358" t="s">
        <v>1559</v>
      </c>
      <c r="R1358" t="s">
        <v>1561</v>
      </c>
      <c r="S1358" t="s">
        <v>1567</v>
      </c>
      <c r="T1358">
        <v>1783350</v>
      </c>
      <c r="U1358">
        <v>1</v>
      </c>
      <c r="V1358" t="s">
        <v>1579</v>
      </c>
      <c r="W1358" t="s">
        <v>1594</v>
      </c>
      <c r="X1358">
        <v>10.95</v>
      </c>
    </row>
    <row r="1359" spans="1:24" x14ac:dyDescent="0.25">
      <c r="A1359" t="s">
        <v>1379</v>
      </c>
      <c r="B1359" s="4">
        <v>46087</v>
      </c>
      <c r="C1359" s="4" t="str">
        <f t="shared" si="42"/>
        <v>Mar</v>
      </c>
      <c r="D1359" t="s">
        <v>1522</v>
      </c>
      <c r="E1359" t="s">
        <v>1524</v>
      </c>
      <c r="F1359" t="s">
        <v>1537</v>
      </c>
      <c r="G1359" t="s">
        <v>1542</v>
      </c>
      <c r="H1359" t="s">
        <v>1551</v>
      </c>
      <c r="I1359">
        <v>2026</v>
      </c>
      <c r="J1359" t="s">
        <v>1554</v>
      </c>
      <c r="K1359" t="s">
        <v>1557</v>
      </c>
      <c r="L1359">
        <v>998969</v>
      </c>
      <c r="M1359">
        <v>924406</v>
      </c>
      <c r="N1359">
        <v>74563</v>
      </c>
      <c r="O1359">
        <v>37</v>
      </c>
      <c r="P1359" t="str">
        <f t="shared" si="43"/>
        <v>adult</v>
      </c>
      <c r="Q1359" t="s">
        <v>1558</v>
      </c>
      <c r="R1359" t="s">
        <v>1566</v>
      </c>
      <c r="S1359" t="s">
        <v>1568</v>
      </c>
      <c r="T1359">
        <v>708577</v>
      </c>
      <c r="U1359">
        <v>1</v>
      </c>
      <c r="V1359" t="s">
        <v>1586</v>
      </c>
      <c r="W1359" t="s">
        <v>1591</v>
      </c>
      <c r="X1359">
        <v>7.46</v>
      </c>
    </row>
    <row r="1360" spans="1:24" x14ac:dyDescent="0.25">
      <c r="A1360" t="s">
        <v>1380</v>
      </c>
      <c r="B1360" s="4">
        <v>45850</v>
      </c>
      <c r="C1360" s="4" t="str">
        <f t="shared" si="42"/>
        <v>Jul</v>
      </c>
      <c r="D1360" t="s">
        <v>1522</v>
      </c>
      <c r="E1360" t="s">
        <v>1526</v>
      </c>
      <c r="F1360" t="s">
        <v>1528</v>
      </c>
      <c r="G1360" t="s">
        <v>1540</v>
      </c>
      <c r="H1360" t="s">
        <v>1550</v>
      </c>
      <c r="I1360">
        <v>2022</v>
      </c>
      <c r="J1360" t="s">
        <v>1554</v>
      </c>
      <c r="K1360" t="s">
        <v>1556</v>
      </c>
      <c r="L1360">
        <v>1215661</v>
      </c>
      <c r="M1360">
        <v>1103765</v>
      </c>
      <c r="N1360">
        <v>111896</v>
      </c>
      <c r="O1360">
        <v>32</v>
      </c>
      <c r="P1360" t="str">
        <f t="shared" si="43"/>
        <v>adult</v>
      </c>
      <c r="Q1360" t="s">
        <v>1558</v>
      </c>
      <c r="R1360" t="s">
        <v>1561</v>
      </c>
      <c r="S1360" t="s">
        <v>1567</v>
      </c>
      <c r="T1360">
        <v>445871</v>
      </c>
      <c r="U1360">
        <v>4</v>
      </c>
      <c r="V1360" t="s">
        <v>1579</v>
      </c>
      <c r="W1360" t="s">
        <v>1594</v>
      </c>
      <c r="X1360">
        <v>9.1999999999999993</v>
      </c>
    </row>
    <row r="1361" spans="1:24" x14ac:dyDescent="0.25">
      <c r="A1361" t="s">
        <v>1381</v>
      </c>
      <c r="B1361" s="4">
        <v>45834</v>
      </c>
      <c r="C1361" s="4" t="str">
        <f t="shared" si="42"/>
        <v>Jun</v>
      </c>
      <c r="D1361" t="s">
        <v>1522</v>
      </c>
      <c r="E1361" t="s">
        <v>1527</v>
      </c>
      <c r="F1361" t="s">
        <v>1530</v>
      </c>
      <c r="G1361" t="s">
        <v>1547</v>
      </c>
      <c r="H1361" t="s">
        <v>1550</v>
      </c>
      <c r="I1361">
        <v>2026</v>
      </c>
      <c r="J1361" t="s">
        <v>1554</v>
      </c>
      <c r="K1361" t="s">
        <v>1556</v>
      </c>
      <c r="L1361">
        <v>1541271</v>
      </c>
      <c r="M1361">
        <v>1300491</v>
      </c>
      <c r="N1361">
        <v>240780</v>
      </c>
      <c r="O1361">
        <v>55</v>
      </c>
      <c r="P1361" t="str">
        <f t="shared" si="43"/>
        <v>senior</v>
      </c>
      <c r="Q1361" t="s">
        <v>1559</v>
      </c>
      <c r="R1361" t="s">
        <v>1565</v>
      </c>
      <c r="S1361" t="s">
        <v>1568</v>
      </c>
      <c r="T1361">
        <v>1001316</v>
      </c>
      <c r="U1361">
        <v>1</v>
      </c>
      <c r="V1361" t="s">
        <v>1584</v>
      </c>
      <c r="W1361" t="s">
        <v>1592</v>
      </c>
      <c r="X1361">
        <v>15.62</v>
      </c>
    </row>
    <row r="1362" spans="1:24" x14ac:dyDescent="0.25">
      <c r="A1362" t="s">
        <v>1382</v>
      </c>
      <c r="B1362" s="4">
        <v>45684</v>
      </c>
      <c r="C1362" s="4" t="str">
        <f t="shared" si="42"/>
        <v>Jan</v>
      </c>
      <c r="D1362" t="s">
        <v>1522</v>
      </c>
      <c r="E1362" t="s">
        <v>1524</v>
      </c>
      <c r="F1362" t="s">
        <v>1534</v>
      </c>
      <c r="G1362" t="s">
        <v>1545</v>
      </c>
      <c r="H1362" t="s">
        <v>1550</v>
      </c>
      <c r="I1362">
        <v>2023</v>
      </c>
      <c r="J1362" t="s">
        <v>1554</v>
      </c>
      <c r="K1362" t="s">
        <v>1556</v>
      </c>
      <c r="L1362">
        <v>1266011</v>
      </c>
      <c r="M1362">
        <v>1161229</v>
      </c>
      <c r="N1362">
        <v>104782</v>
      </c>
      <c r="O1362">
        <v>23</v>
      </c>
      <c r="P1362" t="str">
        <f t="shared" si="43"/>
        <v>young</v>
      </c>
      <c r="Q1362" t="s">
        <v>1558</v>
      </c>
      <c r="R1362" t="s">
        <v>1564</v>
      </c>
      <c r="S1362" t="s">
        <v>1570</v>
      </c>
      <c r="T1362">
        <v>1166735</v>
      </c>
      <c r="U1362">
        <v>5</v>
      </c>
      <c r="V1362" t="s">
        <v>1571</v>
      </c>
      <c r="W1362" t="s">
        <v>1591</v>
      </c>
      <c r="X1362">
        <v>8.2799999999999994</v>
      </c>
    </row>
    <row r="1363" spans="1:24" x14ac:dyDescent="0.25">
      <c r="A1363" t="s">
        <v>1383</v>
      </c>
      <c r="B1363" s="4">
        <v>46137</v>
      </c>
      <c r="C1363" s="4" t="str">
        <f t="shared" si="42"/>
        <v>Apr</v>
      </c>
      <c r="D1363" t="s">
        <v>1522</v>
      </c>
      <c r="E1363" t="s">
        <v>1523</v>
      </c>
      <c r="F1363" t="s">
        <v>1528</v>
      </c>
      <c r="G1363" t="s">
        <v>1548</v>
      </c>
      <c r="H1363" t="s">
        <v>1551</v>
      </c>
      <c r="I1363">
        <v>2024</v>
      </c>
      <c r="J1363" t="s">
        <v>1554</v>
      </c>
      <c r="K1363" t="s">
        <v>1556</v>
      </c>
      <c r="L1363">
        <v>883343</v>
      </c>
      <c r="M1363">
        <v>839484</v>
      </c>
      <c r="N1363">
        <v>43859</v>
      </c>
      <c r="O1363">
        <v>62</v>
      </c>
      <c r="P1363" t="str">
        <f t="shared" si="43"/>
        <v>senior</v>
      </c>
      <c r="Q1363" t="s">
        <v>1558</v>
      </c>
      <c r="R1363" t="s">
        <v>1565</v>
      </c>
      <c r="S1363" t="s">
        <v>1567</v>
      </c>
      <c r="T1363">
        <v>2043438</v>
      </c>
      <c r="U1363">
        <v>3</v>
      </c>
      <c r="V1363" t="s">
        <v>1580</v>
      </c>
      <c r="W1363" t="s">
        <v>1592</v>
      </c>
      <c r="X1363">
        <v>4.97</v>
      </c>
    </row>
    <row r="1364" spans="1:24" x14ac:dyDescent="0.25">
      <c r="A1364" t="s">
        <v>1384</v>
      </c>
      <c r="B1364" s="4">
        <v>45895</v>
      </c>
      <c r="C1364" s="4" t="str">
        <f t="shared" si="42"/>
        <v>Aug</v>
      </c>
      <c r="D1364" t="s">
        <v>1522</v>
      </c>
      <c r="E1364" t="s">
        <v>1523</v>
      </c>
      <c r="F1364" t="s">
        <v>1533</v>
      </c>
      <c r="G1364" t="s">
        <v>1541</v>
      </c>
      <c r="H1364" t="s">
        <v>4</v>
      </c>
      <c r="I1364">
        <v>2024</v>
      </c>
      <c r="J1364" t="s">
        <v>1554</v>
      </c>
      <c r="K1364" t="s">
        <v>1557</v>
      </c>
      <c r="L1364">
        <v>1242787</v>
      </c>
      <c r="M1364">
        <v>1091893</v>
      </c>
      <c r="N1364">
        <v>150894</v>
      </c>
      <c r="O1364">
        <v>46</v>
      </c>
      <c r="P1364" t="str">
        <f t="shared" si="43"/>
        <v>adult</v>
      </c>
      <c r="Q1364" t="s">
        <v>1559</v>
      </c>
      <c r="R1364" t="s">
        <v>1565</v>
      </c>
      <c r="S1364" t="s">
        <v>1568</v>
      </c>
      <c r="T1364">
        <v>1775739</v>
      </c>
      <c r="U1364">
        <v>1</v>
      </c>
      <c r="V1364" t="s">
        <v>1585</v>
      </c>
      <c r="W1364" t="s">
        <v>1594</v>
      </c>
      <c r="X1364">
        <v>12.14</v>
      </c>
    </row>
    <row r="1365" spans="1:24" x14ac:dyDescent="0.25">
      <c r="A1365" t="s">
        <v>1385</v>
      </c>
      <c r="B1365" s="4">
        <v>46245</v>
      </c>
      <c r="C1365" s="4" t="str">
        <f t="shared" si="42"/>
        <v>Aug</v>
      </c>
      <c r="D1365" t="s">
        <v>1522</v>
      </c>
      <c r="E1365" t="s">
        <v>1524</v>
      </c>
      <c r="F1365" t="s">
        <v>1531</v>
      </c>
      <c r="G1365" t="s">
        <v>1542</v>
      </c>
      <c r="H1365" t="s">
        <v>1550</v>
      </c>
      <c r="I1365">
        <v>2025</v>
      </c>
      <c r="J1365" t="s">
        <v>1554</v>
      </c>
      <c r="K1365" t="s">
        <v>1556</v>
      </c>
      <c r="L1365">
        <v>1581487</v>
      </c>
      <c r="M1365">
        <v>1376252</v>
      </c>
      <c r="N1365">
        <v>205235</v>
      </c>
      <c r="O1365">
        <v>28</v>
      </c>
      <c r="P1365" t="str">
        <f t="shared" si="43"/>
        <v>young</v>
      </c>
      <c r="Q1365" t="s">
        <v>1558</v>
      </c>
      <c r="R1365" t="s">
        <v>1563</v>
      </c>
      <c r="S1365" t="s">
        <v>1567</v>
      </c>
      <c r="T1365">
        <v>193100</v>
      </c>
      <c r="U1365">
        <v>5</v>
      </c>
      <c r="V1365" t="s">
        <v>1576</v>
      </c>
      <c r="W1365" t="s">
        <v>1594</v>
      </c>
      <c r="X1365">
        <v>12.98</v>
      </c>
    </row>
    <row r="1366" spans="1:24" x14ac:dyDescent="0.25">
      <c r="A1366" t="s">
        <v>1386</v>
      </c>
      <c r="B1366" s="4">
        <v>46258</v>
      </c>
      <c r="C1366" s="4" t="str">
        <f t="shared" si="42"/>
        <v>Aug</v>
      </c>
      <c r="D1366" t="s">
        <v>1522</v>
      </c>
      <c r="E1366" t="s">
        <v>1525</v>
      </c>
      <c r="F1366" t="s">
        <v>1535</v>
      </c>
      <c r="G1366" t="s">
        <v>1540</v>
      </c>
      <c r="H1366" t="s">
        <v>1551</v>
      </c>
      <c r="I1366">
        <v>2026</v>
      </c>
      <c r="J1366" t="s">
        <v>1554</v>
      </c>
      <c r="K1366" t="s">
        <v>1556</v>
      </c>
      <c r="L1366">
        <v>908049</v>
      </c>
      <c r="M1366">
        <v>803126</v>
      </c>
      <c r="N1366">
        <v>104923</v>
      </c>
      <c r="O1366">
        <v>45</v>
      </c>
      <c r="P1366" t="str">
        <f t="shared" si="43"/>
        <v>adult</v>
      </c>
      <c r="Q1366" t="s">
        <v>1559</v>
      </c>
      <c r="R1366" t="s">
        <v>1564</v>
      </c>
      <c r="S1366" t="s">
        <v>1567</v>
      </c>
      <c r="T1366">
        <v>1405616</v>
      </c>
      <c r="U1366">
        <v>3</v>
      </c>
      <c r="V1366" t="s">
        <v>1576</v>
      </c>
      <c r="W1366" t="s">
        <v>1594</v>
      </c>
      <c r="X1366">
        <v>11.55</v>
      </c>
    </row>
    <row r="1367" spans="1:24" x14ac:dyDescent="0.25">
      <c r="A1367" t="s">
        <v>1387</v>
      </c>
      <c r="B1367" s="4">
        <v>46218</v>
      </c>
      <c r="C1367" s="4" t="str">
        <f t="shared" si="42"/>
        <v>Jul</v>
      </c>
      <c r="D1367" t="s">
        <v>1522</v>
      </c>
      <c r="E1367" t="s">
        <v>1526</v>
      </c>
      <c r="F1367" t="s">
        <v>1534</v>
      </c>
      <c r="G1367" t="s">
        <v>1542</v>
      </c>
      <c r="H1367" t="s">
        <v>1552</v>
      </c>
      <c r="I1367">
        <v>2024</v>
      </c>
      <c r="J1367" t="s">
        <v>1555</v>
      </c>
      <c r="K1367" t="s">
        <v>1556</v>
      </c>
      <c r="L1367">
        <v>2012517</v>
      </c>
      <c r="M1367">
        <v>1756806</v>
      </c>
      <c r="N1367">
        <v>255711</v>
      </c>
      <c r="O1367">
        <v>49</v>
      </c>
      <c r="P1367" t="str">
        <f t="shared" si="43"/>
        <v>adult</v>
      </c>
      <c r="Q1367" t="s">
        <v>1558</v>
      </c>
      <c r="R1367" t="s">
        <v>1562</v>
      </c>
      <c r="S1367" t="s">
        <v>1567</v>
      </c>
      <c r="T1367">
        <v>616020</v>
      </c>
      <c r="U1367">
        <v>5</v>
      </c>
      <c r="V1367" t="s">
        <v>1587</v>
      </c>
      <c r="W1367" t="s">
        <v>1594</v>
      </c>
      <c r="X1367">
        <v>12.71</v>
      </c>
    </row>
    <row r="1368" spans="1:24" x14ac:dyDescent="0.25">
      <c r="A1368" t="s">
        <v>1388</v>
      </c>
      <c r="B1368" s="4">
        <v>45842</v>
      </c>
      <c r="C1368" s="4" t="str">
        <f t="shared" si="42"/>
        <v>Jul</v>
      </c>
      <c r="D1368" t="s">
        <v>1522</v>
      </c>
      <c r="E1368" t="s">
        <v>1527</v>
      </c>
      <c r="F1368" t="s">
        <v>1536</v>
      </c>
      <c r="G1368" t="s">
        <v>1542</v>
      </c>
      <c r="H1368" t="s">
        <v>4</v>
      </c>
      <c r="I1368">
        <v>2025</v>
      </c>
      <c r="J1368" t="s">
        <v>1554</v>
      </c>
      <c r="K1368" t="s">
        <v>1557</v>
      </c>
      <c r="L1368">
        <v>1434459</v>
      </c>
      <c r="M1368">
        <v>1206655</v>
      </c>
      <c r="N1368">
        <v>227804</v>
      </c>
      <c r="O1368">
        <v>48</v>
      </c>
      <c r="P1368" t="str">
        <f t="shared" si="43"/>
        <v>adult</v>
      </c>
      <c r="Q1368" t="s">
        <v>1559</v>
      </c>
      <c r="R1368" t="s">
        <v>1566</v>
      </c>
      <c r="S1368" t="s">
        <v>1567</v>
      </c>
      <c r="T1368">
        <v>1577825</v>
      </c>
      <c r="U1368">
        <v>2</v>
      </c>
      <c r="V1368" t="s">
        <v>1579</v>
      </c>
      <c r="W1368" t="s">
        <v>1594</v>
      </c>
      <c r="X1368">
        <v>15.88</v>
      </c>
    </row>
    <row r="1369" spans="1:24" x14ac:dyDescent="0.25">
      <c r="A1369" t="s">
        <v>1389</v>
      </c>
      <c r="B1369" s="4">
        <v>45750</v>
      </c>
      <c r="C1369" s="4" t="str">
        <f t="shared" si="42"/>
        <v>Apr</v>
      </c>
      <c r="D1369" t="s">
        <v>1522</v>
      </c>
      <c r="E1369" t="s">
        <v>1525</v>
      </c>
      <c r="F1369" t="s">
        <v>1532</v>
      </c>
      <c r="G1369" t="s">
        <v>1541</v>
      </c>
      <c r="H1369" t="s">
        <v>4</v>
      </c>
      <c r="I1369">
        <v>2022</v>
      </c>
      <c r="J1369" t="s">
        <v>1554</v>
      </c>
      <c r="K1369" t="s">
        <v>1557</v>
      </c>
      <c r="L1369">
        <v>1523931</v>
      </c>
      <c r="M1369">
        <v>1395749</v>
      </c>
      <c r="N1369">
        <v>128182</v>
      </c>
      <c r="O1369">
        <v>40</v>
      </c>
      <c r="P1369" t="str">
        <f t="shared" si="43"/>
        <v>adult</v>
      </c>
      <c r="Q1369" t="s">
        <v>1558</v>
      </c>
      <c r="R1369" t="s">
        <v>1564</v>
      </c>
      <c r="S1369" t="s">
        <v>1568</v>
      </c>
      <c r="T1369">
        <v>256525</v>
      </c>
      <c r="U1369">
        <v>5</v>
      </c>
      <c r="V1369" t="s">
        <v>1573</v>
      </c>
      <c r="W1369" t="s">
        <v>1592</v>
      </c>
      <c r="X1369">
        <v>8.41</v>
      </c>
    </row>
    <row r="1370" spans="1:24" x14ac:dyDescent="0.25">
      <c r="A1370" t="s">
        <v>1390</v>
      </c>
      <c r="B1370" s="4">
        <v>45767</v>
      </c>
      <c r="C1370" s="4" t="str">
        <f t="shared" si="42"/>
        <v>Apr</v>
      </c>
      <c r="D1370" t="s">
        <v>1522</v>
      </c>
      <c r="E1370" t="s">
        <v>1526</v>
      </c>
      <c r="F1370" t="s">
        <v>1530</v>
      </c>
      <c r="G1370" t="s">
        <v>1547</v>
      </c>
      <c r="H1370" t="s">
        <v>1552</v>
      </c>
      <c r="I1370">
        <v>2022</v>
      </c>
      <c r="J1370" t="s">
        <v>1555</v>
      </c>
      <c r="K1370" t="s">
        <v>1556</v>
      </c>
      <c r="L1370">
        <v>1965181</v>
      </c>
      <c r="M1370">
        <v>1577371</v>
      </c>
      <c r="N1370">
        <v>387810</v>
      </c>
      <c r="O1370">
        <v>33</v>
      </c>
      <c r="P1370" t="str">
        <f t="shared" si="43"/>
        <v>adult</v>
      </c>
      <c r="Q1370" t="s">
        <v>1559</v>
      </c>
      <c r="R1370" t="s">
        <v>1566</v>
      </c>
      <c r="S1370" t="s">
        <v>1569</v>
      </c>
      <c r="T1370">
        <v>2146647</v>
      </c>
      <c r="U1370">
        <v>4</v>
      </c>
      <c r="V1370" t="s">
        <v>1573</v>
      </c>
      <c r="W1370" t="s">
        <v>1592</v>
      </c>
      <c r="X1370">
        <v>19.73</v>
      </c>
    </row>
    <row r="1371" spans="1:24" x14ac:dyDescent="0.25">
      <c r="A1371" t="s">
        <v>1391</v>
      </c>
      <c r="B1371" s="4">
        <v>45784</v>
      </c>
      <c r="C1371" s="4" t="str">
        <f t="shared" si="42"/>
        <v>May</v>
      </c>
      <c r="D1371" t="s">
        <v>1522</v>
      </c>
      <c r="E1371" t="s">
        <v>1525</v>
      </c>
      <c r="F1371" t="s">
        <v>1529</v>
      </c>
      <c r="G1371" t="s">
        <v>1544</v>
      </c>
      <c r="H1371" t="s">
        <v>4</v>
      </c>
      <c r="I1371">
        <v>2024</v>
      </c>
      <c r="J1371" t="s">
        <v>1554</v>
      </c>
      <c r="K1371" t="s">
        <v>1556</v>
      </c>
      <c r="L1371">
        <v>1474176</v>
      </c>
      <c r="M1371">
        <v>1294708</v>
      </c>
      <c r="N1371">
        <v>179468</v>
      </c>
      <c r="O1371">
        <v>27</v>
      </c>
      <c r="P1371" t="str">
        <f t="shared" si="43"/>
        <v>young</v>
      </c>
      <c r="Q1371" t="s">
        <v>1558</v>
      </c>
      <c r="R1371" t="s">
        <v>1563</v>
      </c>
      <c r="S1371" t="s">
        <v>1568</v>
      </c>
      <c r="T1371">
        <v>329310</v>
      </c>
      <c r="U1371">
        <v>1</v>
      </c>
      <c r="V1371" t="s">
        <v>1572</v>
      </c>
      <c r="W1371" t="s">
        <v>1592</v>
      </c>
      <c r="X1371">
        <v>12.17</v>
      </c>
    </row>
    <row r="1372" spans="1:24" x14ac:dyDescent="0.25">
      <c r="A1372" t="s">
        <v>1392</v>
      </c>
      <c r="B1372" s="4">
        <v>46007</v>
      </c>
      <c r="C1372" s="4" t="str">
        <f t="shared" si="42"/>
        <v>Dec</v>
      </c>
      <c r="D1372" t="s">
        <v>1522</v>
      </c>
      <c r="E1372" t="s">
        <v>1526</v>
      </c>
      <c r="F1372" t="s">
        <v>1537</v>
      </c>
      <c r="G1372" t="s">
        <v>1541</v>
      </c>
      <c r="H1372" t="s">
        <v>1552</v>
      </c>
      <c r="I1372">
        <v>2024</v>
      </c>
      <c r="J1372" t="s">
        <v>1555</v>
      </c>
      <c r="K1372" t="s">
        <v>1556</v>
      </c>
      <c r="L1372">
        <v>1913528</v>
      </c>
      <c r="M1372">
        <v>1675470</v>
      </c>
      <c r="N1372">
        <v>238058</v>
      </c>
      <c r="O1372">
        <v>24</v>
      </c>
      <c r="P1372" t="str">
        <f t="shared" si="43"/>
        <v>young</v>
      </c>
      <c r="Q1372" t="s">
        <v>1558</v>
      </c>
      <c r="R1372" t="s">
        <v>1561</v>
      </c>
      <c r="S1372" t="s">
        <v>1567</v>
      </c>
      <c r="T1372">
        <v>359201</v>
      </c>
      <c r="U1372">
        <v>5</v>
      </c>
      <c r="V1372" t="s">
        <v>1575</v>
      </c>
      <c r="W1372" t="s">
        <v>1593</v>
      </c>
      <c r="X1372">
        <v>12.44</v>
      </c>
    </row>
    <row r="1373" spans="1:24" x14ac:dyDescent="0.25">
      <c r="A1373" t="s">
        <v>1393</v>
      </c>
      <c r="B1373" s="4">
        <v>46062</v>
      </c>
      <c r="C1373" s="4" t="str">
        <f t="shared" si="42"/>
        <v>Feb</v>
      </c>
      <c r="D1373" t="s">
        <v>1522</v>
      </c>
      <c r="E1373" t="s">
        <v>1525</v>
      </c>
      <c r="F1373" t="s">
        <v>1533</v>
      </c>
      <c r="G1373" t="s">
        <v>1540</v>
      </c>
      <c r="H1373" t="s">
        <v>1550</v>
      </c>
      <c r="I1373">
        <v>2024</v>
      </c>
      <c r="J1373" t="s">
        <v>1554</v>
      </c>
      <c r="K1373" t="s">
        <v>1557</v>
      </c>
      <c r="L1373">
        <v>1666598</v>
      </c>
      <c r="M1373">
        <v>1504204</v>
      </c>
      <c r="N1373">
        <v>162394</v>
      </c>
      <c r="O1373">
        <v>29</v>
      </c>
      <c r="P1373" t="str">
        <f t="shared" si="43"/>
        <v>young</v>
      </c>
      <c r="Q1373" t="s">
        <v>1558</v>
      </c>
      <c r="R1373" t="s">
        <v>1561</v>
      </c>
      <c r="S1373" t="s">
        <v>1569</v>
      </c>
      <c r="T1373">
        <v>81729</v>
      </c>
      <c r="U1373">
        <v>1</v>
      </c>
      <c r="V1373" t="s">
        <v>1589</v>
      </c>
      <c r="W1373" t="s">
        <v>1591</v>
      </c>
      <c r="X1373">
        <v>9.74</v>
      </c>
    </row>
    <row r="1374" spans="1:24" x14ac:dyDescent="0.25">
      <c r="A1374" t="s">
        <v>1394</v>
      </c>
      <c r="B1374" s="4">
        <v>46024</v>
      </c>
      <c r="C1374" s="4" t="str">
        <f t="shared" si="42"/>
        <v>Jan</v>
      </c>
      <c r="D1374" t="s">
        <v>1522</v>
      </c>
      <c r="E1374" t="s">
        <v>1525</v>
      </c>
      <c r="F1374" t="s">
        <v>1531</v>
      </c>
      <c r="G1374" t="s">
        <v>1548</v>
      </c>
      <c r="H1374" t="s">
        <v>4</v>
      </c>
      <c r="I1374">
        <v>2024</v>
      </c>
      <c r="J1374" t="s">
        <v>1554</v>
      </c>
      <c r="K1374" t="s">
        <v>1556</v>
      </c>
      <c r="L1374">
        <v>1312168</v>
      </c>
      <c r="M1374">
        <v>1095230</v>
      </c>
      <c r="N1374">
        <v>216938</v>
      </c>
      <c r="O1374">
        <v>25</v>
      </c>
      <c r="P1374" t="str">
        <f t="shared" si="43"/>
        <v>young</v>
      </c>
      <c r="Q1374" t="s">
        <v>1558</v>
      </c>
      <c r="R1374" t="s">
        <v>1561</v>
      </c>
      <c r="S1374" t="s">
        <v>1569</v>
      </c>
      <c r="T1374">
        <v>1834057</v>
      </c>
      <c r="U1374">
        <v>1</v>
      </c>
      <c r="V1374" t="s">
        <v>1581</v>
      </c>
      <c r="W1374" t="s">
        <v>1591</v>
      </c>
      <c r="X1374">
        <v>16.53</v>
      </c>
    </row>
    <row r="1375" spans="1:24" x14ac:dyDescent="0.25">
      <c r="A1375" t="s">
        <v>1395</v>
      </c>
      <c r="B1375" s="4">
        <v>45975</v>
      </c>
      <c r="C1375" s="4" t="str">
        <f t="shared" si="42"/>
        <v>Nov</v>
      </c>
      <c r="D1375" t="s">
        <v>1522</v>
      </c>
      <c r="E1375" t="s">
        <v>1527</v>
      </c>
      <c r="F1375" t="s">
        <v>1528</v>
      </c>
      <c r="G1375" t="s">
        <v>1546</v>
      </c>
      <c r="H1375" t="s">
        <v>1551</v>
      </c>
      <c r="I1375">
        <v>2025</v>
      </c>
      <c r="J1375" t="s">
        <v>1554</v>
      </c>
      <c r="K1375" t="s">
        <v>1557</v>
      </c>
      <c r="L1375">
        <v>845794</v>
      </c>
      <c r="M1375">
        <v>819698</v>
      </c>
      <c r="N1375">
        <v>26096</v>
      </c>
      <c r="O1375">
        <v>49</v>
      </c>
      <c r="P1375" t="str">
        <f t="shared" si="43"/>
        <v>adult</v>
      </c>
      <c r="Q1375" t="s">
        <v>1558</v>
      </c>
      <c r="R1375" t="s">
        <v>1563</v>
      </c>
      <c r="S1375" t="s">
        <v>1568</v>
      </c>
      <c r="T1375">
        <v>422890</v>
      </c>
      <c r="U1375">
        <v>1</v>
      </c>
      <c r="V1375" t="s">
        <v>1583</v>
      </c>
      <c r="W1375" t="s">
        <v>1593</v>
      </c>
      <c r="X1375">
        <v>3.09</v>
      </c>
    </row>
    <row r="1376" spans="1:24" x14ac:dyDescent="0.25">
      <c r="A1376" t="s">
        <v>1396</v>
      </c>
      <c r="B1376" s="4">
        <v>46026</v>
      </c>
      <c r="C1376" s="4" t="str">
        <f t="shared" si="42"/>
        <v>Jan</v>
      </c>
      <c r="D1376" t="s">
        <v>1522</v>
      </c>
      <c r="E1376" t="s">
        <v>1527</v>
      </c>
      <c r="F1376" t="s">
        <v>1532</v>
      </c>
      <c r="G1376" t="s">
        <v>1544</v>
      </c>
      <c r="H1376" t="s">
        <v>4</v>
      </c>
      <c r="I1376">
        <v>2023</v>
      </c>
      <c r="J1376" t="s">
        <v>1554</v>
      </c>
      <c r="K1376" t="s">
        <v>1556</v>
      </c>
      <c r="L1376">
        <v>1334659</v>
      </c>
      <c r="M1376">
        <v>1068477</v>
      </c>
      <c r="N1376">
        <v>266182</v>
      </c>
      <c r="O1376">
        <v>56</v>
      </c>
      <c r="P1376" t="str">
        <f t="shared" si="43"/>
        <v>senior</v>
      </c>
      <c r="Q1376" t="s">
        <v>1559</v>
      </c>
      <c r="R1376" t="s">
        <v>1565</v>
      </c>
      <c r="S1376" t="s">
        <v>1568</v>
      </c>
      <c r="T1376">
        <v>2048285</v>
      </c>
      <c r="U1376">
        <v>5</v>
      </c>
      <c r="V1376" t="s">
        <v>1581</v>
      </c>
      <c r="W1376" t="s">
        <v>1591</v>
      </c>
      <c r="X1376">
        <v>19.940000000000001</v>
      </c>
    </row>
    <row r="1377" spans="1:24" x14ac:dyDescent="0.25">
      <c r="A1377" t="s">
        <v>1397</v>
      </c>
      <c r="B1377" s="4">
        <v>45728</v>
      </c>
      <c r="C1377" s="4" t="str">
        <f t="shared" si="42"/>
        <v>Mar</v>
      </c>
      <c r="D1377" t="s">
        <v>1522</v>
      </c>
      <c r="E1377" t="s">
        <v>1527</v>
      </c>
      <c r="F1377" t="s">
        <v>1536</v>
      </c>
      <c r="G1377" t="s">
        <v>1548</v>
      </c>
      <c r="H1377" t="s">
        <v>1550</v>
      </c>
      <c r="I1377">
        <v>2024</v>
      </c>
      <c r="J1377" t="s">
        <v>1554</v>
      </c>
      <c r="K1377" t="s">
        <v>1556</v>
      </c>
      <c r="L1377">
        <v>1358035</v>
      </c>
      <c r="M1377">
        <v>1259415</v>
      </c>
      <c r="N1377">
        <v>98620</v>
      </c>
      <c r="O1377">
        <v>45</v>
      </c>
      <c r="P1377" t="str">
        <f t="shared" si="43"/>
        <v>adult</v>
      </c>
      <c r="Q1377" t="s">
        <v>1558</v>
      </c>
      <c r="R1377" t="s">
        <v>1563</v>
      </c>
      <c r="S1377" t="s">
        <v>1567</v>
      </c>
      <c r="T1377">
        <v>2069015</v>
      </c>
      <c r="U1377">
        <v>1</v>
      </c>
      <c r="V1377" t="s">
        <v>1588</v>
      </c>
      <c r="W1377" t="s">
        <v>1591</v>
      </c>
      <c r="X1377">
        <v>7.26</v>
      </c>
    </row>
    <row r="1378" spans="1:24" x14ac:dyDescent="0.25">
      <c r="A1378" t="s">
        <v>1398</v>
      </c>
      <c r="B1378" s="4">
        <v>46239</v>
      </c>
      <c r="C1378" s="4" t="str">
        <f t="shared" si="42"/>
        <v>Aug</v>
      </c>
      <c r="D1378" t="s">
        <v>1522</v>
      </c>
      <c r="E1378" t="s">
        <v>1526</v>
      </c>
      <c r="F1378" t="s">
        <v>1532</v>
      </c>
      <c r="G1378" t="s">
        <v>1544</v>
      </c>
      <c r="H1378" t="s">
        <v>1550</v>
      </c>
      <c r="I1378">
        <v>2024</v>
      </c>
      <c r="J1378" t="s">
        <v>1554</v>
      </c>
      <c r="K1378" t="s">
        <v>1556</v>
      </c>
      <c r="L1378">
        <v>1147775</v>
      </c>
      <c r="M1378">
        <v>970096</v>
      </c>
      <c r="N1378">
        <v>177679</v>
      </c>
      <c r="O1378">
        <v>26</v>
      </c>
      <c r="P1378" t="str">
        <f t="shared" si="43"/>
        <v>young</v>
      </c>
      <c r="Q1378" t="s">
        <v>1558</v>
      </c>
      <c r="R1378" t="s">
        <v>1563</v>
      </c>
      <c r="S1378" t="s">
        <v>1567</v>
      </c>
      <c r="T1378">
        <v>1926349</v>
      </c>
      <c r="U1378">
        <v>4</v>
      </c>
      <c r="V1378" t="s">
        <v>1576</v>
      </c>
      <c r="W1378" t="s">
        <v>1594</v>
      </c>
      <c r="X1378">
        <v>15.48</v>
      </c>
    </row>
    <row r="1379" spans="1:24" x14ac:dyDescent="0.25">
      <c r="A1379" t="s">
        <v>1399</v>
      </c>
      <c r="B1379" s="4">
        <v>46248</v>
      </c>
      <c r="C1379" s="4" t="str">
        <f t="shared" si="42"/>
        <v>Aug</v>
      </c>
      <c r="D1379" t="s">
        <v>1522</v>
      </c>
      <c r="E1379" t="s">
        <v>1524</v>
      </c>
      <c r="F1379" t="s">
        <v>1531</v>
      </c>
      <c r="G1379" t="s">
        <v>1549</v>
      </c>
      <c r="H1379" t="s">
        <v>1550</v>
      </c>
      <c r="I1379">
        <v>2026</v>
      </c>
      <c r="J1379" t="s">
        <v>1554</v>
      </c>
      <c r="K1379" t="s">
        <v>1557</v>
      </c>
      <c r="L1379">
        <v>1294152</v>
      </c>
      <c r="M1379">
        <v>1203506</v>
      </c>
      <c r="N1379">
        <v>90646</v>
      </c>
      <c r="O1379">
        <v>39</v>
      </c>
      <c r="P1379" t="str">
        <f t="shared" si="43"/>
        <v>adult</v>
      </c>
      <c r="Q1379" t="s">
        <v>1558</v>
      </c>
      <c r="R1379" t="s">
        <v>1562</v>
      </c>
      <c r="S1379" t="s">
        <v>1567</v>
      </c>
      <c r="T1379">
        <v>1230114</v>
      </c>
      <c r="U1379">
        <v>5</v>
      </c>
      <c r="V1379" t="s">
        <v>1576</v>
      </c>
      <c r="W1379" t="s">
        <v>1594</v>
      </c>
      <c r="X1379">
        <v>7</v>
      </c>
    </row>
    <row r="1380" spans="1:24" x14ac:dyDescent="0.25">
      <c r="A1380" t="s">
        <v>1400</v>
      </c>
      <c r="B1380" s="4">
        <v>46050</v>
      </c>
      <c r="C1380" s="4" t="str">
        <f t="shared" si="42"/>
        <v>Jan</v>
      </c>
      <c r="D1380" t="s">
        <v>1522</v>
      </c>
      <c r="E1380" t="s">
        <v>1524</v>
      </c>
      <c r="F1380" t="s">
        <v>1534</v>
      </c>
      <c r="G1380" t="s">
        <v>1542</v>
      </c>
      <c r="H1380" t="s">
        <v>4</v>
      </c>
      <c r="I1380">
        <v>2023</v>
      </c>
      <c r="J1380" t="s">
        <v>1554</v>
      </c>
      <c r="K1380" t="s">
        <v>1556</v>
      </c>
      <c r="L1380">
        <v>1860982</v>
      </c>
      <c r="M1380">
        <v>1715065</v>
      </c>
      <c r="N1380">
        <v>145917</v>
      </c>
      <c r="O1380">
        <v>28</v>
      </c>
      <c r="P1380" t="str">
        <f t="shared" si="43"/>
        <v>young</v>
      </c>
      <c r="Q1380" t="s">
        <v>1558</v>
      </c>
      <c r="R1380" t="s">
        <v>1566</v>
      </c>
      <c r="S1380" t="s">
        <v>1568</v>
      </c>
      <c r="T1380">
        <v>2184849</v>
      </c>
      <c r="U1380">
        <v>3</v>
      </c>
      <c r="V1380" t="s">
        <v>1581</v>
      </c>
      <c r="W1380" t="s">
        <v>1591</v>
      </c>
      <c r="X1380">
        <v>7.84</v>
      </c>
    </row>
    <row r="1381" spans="1:24" x14ac:dyDescent="0.25">
      <c r="A1381" t="s">
        <v>1401</v>
      </c>
      <c r="B1381" s="4">
        <v>46169</v>
      </c>
      <c r="C1381" s="4" t="str">
        <f t="shared" si="42"/>
        <v>May</v>
      </c>
      <c r="D1381" t="s">
        <v>1522</v>
      </c>
      <c r="E1381" t="s">
        <v>1527</v>
      </c>
      <c r="F1381" t="s">
        <v>1531</v>
      </c>
      <c r="G1381" t="s">
        <v>1544</v>
      </c>
      <c r="H1381" t="s">
        <v>4</v>
      </c>
      <c r="I1381">
        <v>2022</v>
      </c>
      <c r="J1381" t="s">
        <v>1554</v>
      </c>
      <c r="K1381" t="s">
        <v>1556</v>
      </c>
      <c r="L1381">
        <v>1323103</v>
      </c>
      <c r="M1381">
        <v>1166448</v>
      </c>
      <c r="N1381">
        <v>156655</v>
      </c>
      <c r="O1381">
        <v>28</v>
      </c>
      <c r="P1381" t="str">
        <f t="shared" si="43"/>
        <v>young</v>
      </c>
      <c r="Q1381" t="s">
        <v>1559</v>
      </c>
      <c r="R1381" t="s">
        <v>1564</v>
      </c>
      <c r="S1381" t="s">
        <v>1567</v>
      </c>
      <c r="T1381">
        <v>1324160</v>
      </c>
      <c r="U1381">
        <v>2</v>
      </c>
      <c r="V1381" t="s">
        <v>1590</v>
      </c>
      <c r="W1381" t="s">
        <v>1592</v>
      </c>
      <c r="X1381">
        <v>11.84</v>
      </c>
    </row>
    <row r="1382" spans="1:24" x14ac:dyDescent="0.25">
      <c r="A1382" t="s">
        <v>1402</v>
      </c>
      <c r="B1382" s="4">
        <v>45715</v>
      </c>
      <c r="C1382" s="4" t="str">
        <f t="shared" si="42"/>
        <v>Feb</v>
      </c>
      <c r="D1382" t="s">
        <v>1522</v>
      </c>
      <c r="E1382" t="s">
        <v>1525</v>
      </c>
      <c r="F1382" t="s">
        <v>1531</v>
      </c>
      <c r="G1382" t="s">
        <v>1543</v>
      </c>
      <c r="H1382" t="s">
        <v>1551</v>
      </c>
      <c r="I1382">
        <v>2023</v>
      </c>
      <c r="J1382" t="s">
        <v>1554</v>
      </c>
      <c r="K1382" t="s">
        <v>1556</v>
      </c>
      <c r="L1382">
        <v>717994</v>
      </c>
      <c r="M1382">
        <v>702994</v>
      </c>
      <c r="N1382">
        <v>15000</v>
      </c>
      <c r="O1382">
        <v>54</v>
      </c>
      <c r="P1382" t="str">
        <f t="shared" si="43"/>
        <v>senior</v>
      </c>
      <c r="Q1382" t="s">
        <v>1558</v>
      </c>
      <c r="R1382" t="s">
        <v>1561</v>
      </c>
      <c r="S1382" t="s">
        <v>1567</v>
      </c>
      <c r="T1382">
        <v>420196</v>
      </c>
      <c r="U1382">
        <v>1</v>
      </c>
      <c r="V1382" t="s">
        <v>1578</v>
      </c>
      <c r="W1382" t="s">
        <v>1591</v>
      </c>
      <c r="X1382">
        <v>2.09</v>
      </c>
    </row>
    <row r="1383" spans="1:24" x14ac:dyDescent="0.25">
      <c r="A1383" t="s">
        <v>1403</v>
      </c>
      <c r="B1383" s="4">
        <v>45983</v>
      </c>
      <c r="C1383" s="4" t="str">
        <f t="shared" si="42"/>
        <v>Nov</v>
      </c>
      <c r="D1383" t="s">
        <v>1522</v>
      </c>
      <c r="E1383" t="s">
        <v>1525</v>
      </c>
      <c r="F1383" t="s">
        <v>1532</v>
      </c>
      <c r="G1383" t="s">
        <v>1542</v>
      </c>
      <c r="H1383" t="s">
        <v>1550</v>
      </c>
      <c r="I1383">
        <v>2025</v>
      </c>
      <c r="J1383" t="s">
        <v>1554</v>
      </c>
      <c r="K1383" t="s">
        <v>1556</v>
      </c>
      <c r="L1383">
        <v>1410014</v>
      </c>
      <c r="M1383">
        <v>1153523</v>
      </c>
      <c r="N1383">
        <v>256491</v>
      </c>
      <c r="O1383">
        <v>39</v>
      </c>
      <c r="P1383" t="str">
        <f t="shared" si="43"/>
        <v>adult</v>
      </c>
      <c r="Q1383" t="s">
        <v>1558</v>
      </c>
      <c r="R1383" t="s">
        <v>1565</v>
      </c>
      <c r="S1383" t="s">
        <v>1568</v>
      </c>
      <c r="T1383">
        <v>862534</v>
      </c>
      <c r="U1383">
        <v>3</v>
      </c>
      <c r="V1383" t="s">
        <v>1583</v>
      </c>
      <c r="W1383" t="s">
        <v>1593</v>
      </c>
      <c r="X1383">
        <v>18.190000000000001</v>
      </c>
    </row>
    <row r="1384" spans="1:24" x14ac:dyDescent="0.25">
      <c r="A1384" t="s">
        <v>1404</v>
      </c>
      <c r="B1384" s="4">
        <v>46197</v>
      </c>
      <c r="C1384" s="4" t="str">
        <f t="shared" si="42"/>
        <v>Jun</v>
      </c>
      <c r="D1384" t="s">
        <v>1522</v>
      </c>
      <c r="E1384" t="s">
        <v>1524</v>
      </c>
      <c r="F1384" t="s">
        <v>1534</v>
      </c>
      <c r="G1384" t="s">
        <v>1549</v>
      </c>
      <c r="H1384" t="s">
        <v>1552</v>
      </c>
      <c r="I1384">
        <v>2023</v>
      </c>
      <c r="J1384" t="s">
        <v>1555</v>
      </c>
      <c r="K1384" t="s">
        <v>1556</v>
      </c>
      <c r="L1384">
        <v>1969633</v>
      </c>
      <c r="M1384">
        <v>1800456</v>
      </c>
      <c r="N1384">
        <v>169177</v>
      </c>
      <c r="O1384">
        <v>26</v>
      </c>
      <c r="P1384" t="str">
        <f t="shared" si="43"/>
        <v>young</v>
      </c>
      <c r="Q1384" t="s">
        <v>1558</v>
      </c>
      <c r="R1384" t="s">
        <v>1566</v>
      </c>
      <c r="S1384" t="s">
        <v>1570</v>
      </c>
      <c r="T1384">
        <v>436517</v>
      </c>
      <c r="U1384">
        <v>1</v>
      </c>
      <c r="V1384" t="s">
        <v>1582</v>
      </c>
      <c r="W1384" t="s">
        <v>1592</v>
      </c>
      <c r="X1384">
        <v>8.59</v>
      </c>
    </row>
    <row r="1385" spans="1:24" x14ac:dyDescent="0.25">
      <c r="A1385" t="s">
        <v>1405</v>
      </c>
      <c r="B1385" s="4">
        <v>46260</v>
      </c>
      <c r="C1385" s="4" t="str">
        <f t="shared" si="42"/>
        <v>Aug</v>
      </c>
      <c r="D1385" t="s">
        <v>1522</v>
      </c>
      <c r="E1385" t="s">
        <v>1527</v>
      </c>
      <c r="F1385" t="s">
        <v>1536</v>
      </c>
      <c r="G1385" t="s">
        <v>1547</v>
      </c>
      <c r="H1385" t="s">
        <v>4</v>
      </c>
      <c r="I1385">
        <v>2025</v>
      </c>
      <c r="J1385" t="s">
        <v>1554</v>
      </c>
      <c r="K1385" t="s">
        <v>1557</v>
      </c>
      <c r="L1385">
        <v>1564084</v>
      </c>
      <c r="M1385">
        <v>1344725</v>
      </c>
      <c r="N1385">
        <v>219359</v>
      </c>
      <c r="O1385">
        <v>37</v>
      </c>
      <c r="P1385" t="str">
        <f t="shared" si="43"/>
        <v>adult</v>
      </c>
      <c r="Q1385" t="s">
        <v>1558</v>
      </c>
      <c r="R1385" t="s">
        <v>1562</v>
      </c>
      <c r="S1385" t="s">
        <v>1567</v>
      </c>
      <c r="T1385">
        <v>1825350</v>
      </c>
      <c r="U1385">
        <v>4</v>
      </c>
      <c r="V1385" t="s">
        <v>1576</v>
      </c>
      <c r="W1385" t="s">
        <v>1594</v>
      </c>
      <c r="X1385">
        <v>14.02</v>
      </c>
    </row>
    <row r="1386" spans="1:24" x14ac:dyDescent="0.25">
      <c r="A1386" t="s">
        <v>1406</v>
      </c>
      <c r="B1386" s="4">
        <v>46170</v>
      </c>
      <c r="C1386" s="4" t="str">
        <f t="shared" si="42"/>
        <v>May</v>
      </c>
      <c r="D1386" t="s">
        <v>1522</v>
      </c>
      <c r="E1386" t="s">
        <v>1526</v>
      </c>
      <c r="F1386" t="s">
        <v>1529</v>
      </c>
      <c r="G1386" t="s">
        <v>1545</v>
      </c>
      <c r="H1386" t="s">
        <v>1551</v>
      </c>
      <c r="I1386">
        <v>2025</v>
      </c>
      <c r="J1386" t="s">
        <v>1554</v>
      </c>
      <c r="K1386" t="s">
        <v>1556</v>
      </c>
      <c r="L1386">
        <v>1069522</v>
      </c>
      <c r="M1386">
        <v>902867</v>
      </c>
      <c r="N1386">
        <v>166655</v>
      </c>
      <c r="O1386">
        <v>43</v>
      </c>
      <c r="P1386" t="str">
        <f t="shared" si="43"/>
        <v>adult</v>
      </c>
      <c r="Q1386" t="s">
        <v>1559</v>
      </c>
      <c r="R1386" t="s">
        <v>1564</v>
      </c>
      <c r="S1386" t="s">
        <v>1570</v>
      </c>
      <c r="T1386">
        <v>200093</v>
      </c>
      <c r="U1386">
        <v>1</v>
      </c>
      <c r="V1386" t="s">
        <v>1590</v>
      </c>
      <c r="W1386" t="s">
        <v>1592</v>
      </c>
      <c r="X1386">
        <v>15.58</v>
      </c>
    </row>
    <row r="1387" spans="1:24" x14ac:dyDescent="0.25">
      <c r="A1387" t="s">
        <v>1407</v>
      </c>
      <c r="B1387" s="4">
        <v>46210</v>
      </c>
      <c r="C1387" s="4" t="str">
        <f t="shared" si="42"/>
        <v>Jul</v>
      </c>
      <c r="D1387" t="s">
        <v>1522</v>
      </c>
      <c r="E1387" t="s">
        <v>1524</v>
      </c>
      <c r="F1387" t="s">
        <v>1531</v>
      </c>
      <c r="G1387" t="s">
        <v>1546</v>
      </c>
      <c r="H1387" t="s">
        <v>1550</v>
      </c>
      <c r="I1387">
        <v>2024</v>
      </c>
      <c r="J1387" t="s">
        <v>1554</v>
      </c>
      <c r="K1387" t="s">
        <v>1557</v>
      </c>
      <c r="L1387">
        <v>1451609</v>
      </c>
      <c r="M1387">
        <v>1274324</v>
      </c>
      <c r="N1387">
        <v>177285</v>
      </c>
      <c r="O1387">
        <v>37</v>
      </c>
      <c r="P1387" t="str">
        <f t="shared" si="43"/>
        <v>adult</v>
      </c>
      <c r="Q1387" t="s">
        <v>1558</v>
      </c>
      <c r="R1387" t="s">
        <v>1564</v>
      </c>
      <c r="S1387" t="s">
        <v>1567</v>
      </c>
      <c r="T1387">
        <v>2103406</v>
      </c>
      <c r="U1387">
        <v>5</v>
      </c>
      <c r="V1387" t="s">
        <v>1587</v>
      </c>
      <c r="W1387" t="s">
        <v>1594</v>
      </c>
      <c r="X1387">
        <v>12.21</v>
      </c>
    </row>
    <row r="1388" spans="1:24" x14ac:dyDescent="0.25">
      <c r="A1388" t="s">
        <v>1408</v>
      </c>
      <c r="B1388" s="4">
        <v>45659</v>
      </c>
      <c r="C1388" s="4" t="str">
        <f t="shared" si="42"/>
        <v>Jan</v>
      </c>
      <c r="D1388" t="s">
        <v>1522</v>
      </c>
      <c r="E1388" t="s">
        <v>1525</v>
      </c>
      <c r="F1388" t="s">
        <v>1529</v>
      </c>
      <c r="G1388" t="s">
        <v>1545</v>
      </c>
      <c r="H1388" t="s">
        <v>4</v>
      </c>
      <c r="I1388">
        <v>2025</v>
      </c>
      <c r="J1388" t="s">
        <v>1554</v>
      </c>
      <c r="K1388" t="s">
        <v>1556</v>
      </c>
      <c r="L1388">
        <v>1474978</v>
      </c>
      <c r="M1388">
        <v>1219780</v>
      </c>
      <c r="N1388">
        <v>255198</v>
      </c>
      <c r="O1388">
        <v>62</v>
      </c>
      <c r="P1388" t="str">
        <f t="shared" si="43"/>
        <v>senior</v>
      </c>
      <c r="Q1388" t="s">
        <v>1558</v>
      </c>
      <c r="R1388" t="s">
        <v>1565</v>
      </c>
      <c r="S1388" t="s">
        <v>1567</v>
      </c>
      <c r="T1388">
        <v>1431093</v>
      </c>
      <c r="U1388">
        <v>5</v>
      </c>
      <c r="V1388" t="s">
        <v>1571</v>
      </c>
      <c r="W1388" t="s">
        <v>1591</v>
      </c>
      <c r="X1388">
        <v>17.3</v>
      </c>
    </row>
    <row r="1389" spans="1:24" x14ac:dyDescent="0.25">
      <c r="A1389" t="s">
        <v>1409</v>
      </c>
      <c r="B1389" s="4">
        <v>45763</v>
      </c>
      <c r="C1389" s="4" t="str">
        <f t="shared" si="42"/>
        <v>Apr</v>
      </c>
      <c r="D1389" t="s">
        <v>1522</v>
      </c>
      <c r="E1389" t="s">
        <v>1525</v>
      </c>
      <c r="F1389" t="s">
        <v>1528</v>
      </c>
      <c r="G1389" t="s">
        <v>1547</v>
      </c>
      <c r="H1389" t="s">
        <v>1550</v>
      </c>
      <c r="I1389">
        <v>2026</v>
      </c>
      <c r="J1389" t="s">
        <v>1554</v>
      </c>
      <c r="K1389" t="s">
        <v>1556</v>
      </c>
      <c r="L1389">
        <v>1657449</v>
      </c>
      <c r="M1389">
        <v>1447300</v>
      </c>
      <c r="N1389">
        <v>210149</v>
      </c>
      <c r="O1389">
        <v>32</v>
      </c>
      <c r="P1389" t="str">
        <f t="shared" si="43"/>
        <v>adult</v>
      </c>
      <c r="Q1389" t="s">
        <v>1558</v>
      </c>
      <c r="R1389" t="s">
        <v>1563</v>
      </c>
      <c r="S1389" t="s">
        <v>1567</v>
      </c>
      <c r="T1389">
        <v>2116795</v>
      </c>
      <c r="U1389">
        <v>1</v>
      </c>
      <c r="V1389" t="s">
        <v>1573</v>
      </c>
      <c r="W1389" t="s">
        <v>1592</v>
      </c>
      <c r="X1389">
        <v>12.68</v>
      </c>
    </row>
    <row r="1390" spans="1:24" x14ac:dyDescent="0.25">
      <c r="A1390" t="s">
        <v>1410</v>
      </c>
      <c r="B1390" s="4">
        <v>45927</v>
      </c>
      <c r="C1390" s="4" t="str">
        <f t="shared" si="42"/>
        <v>Sep</v>
      </c>
      <c r="D1390" t="s">
        <v>1522</v>
      </c>
      <c r="E1390" t="s">
        <v>1526</v>
      </c>
      <c r="F1390" t="s">
        <v>1531</v>
      </c>
      <c r="G1390" t="s">
        <v>1546</v>
      </c>
      <c r="H1390" t="s">
        <v>1550</v>
      </c>
      <c r="I1390">
        <v>2024</v>
      </c>
      <c r="J1390" t="s">
        <v>1554</v>
      </c>
      <c r="K1390" t="s">
        <v>1557</v>
      </c>
      <c r="L1390">
        <v>1299828</v>
      </c>
      <c r="M1390">
        <v>1202918</v>
      </c>
      <c r="N1390">
        <v>96910</v>
      </c>
      <c r="O1390">
        <v>55</v>
      </c>
      <c r="P1390" t="str">
        <f t="shared" si="43"/>
        <v>senior</v>
      </c>
      <c r="Q1390" t="s">
        <v>1558</v>
      </c>
      <c r="R1390" t="s">
        <v>1562</v>
      </c>
      <c r="S1390" t="s">
        <v>1568</v>
      </c>
      <c r="T1390">
        <v>372004</v>
      </c>
      <c r="U1390">
        <v>4</v>
      </c>
      <c r="V1390" t="s">
        <v>1577</v>
      </c>
      <c r="W1390" t="s">
        <v>1594</v>
      </c>
      <c r="X1390">
        <v>7.46</v>
      </c>
    </row>
    <row r="1391" spans="1:24" x14ac:dyDescent="0.25">
      <c r="A1391" t="s">
        <v>1411</v>
      </c>
      <c r="B1391" s="4">
        <v>46253</v>
      </c>
      <c r="C1391" s="4" t="str">
        <f t="shared" si="42"/>
        <v>Aug</v>
      </c>
      <c r="D1391" t="s">
        <v>1522</v>
      </c>
      <c r="E1391" t="s">
        <v>1527</v>
      </c>
      <c r="F1391" t="s">
        <v>1535</v>
      </c>
      <c r="G1391" t="s">
        <v>1538</v>
      </c>
      <c r="H1391" t="s">
        <v>1550</v>
      </c>
      <c r="I1391">
        <v>2024</v>
      </c>
      <c r="J1391" t="s">
        <v>1554</v>
      </c>
      <c r="K1391" t="s">
        <v>1557</v>
      </c>
      <c r="L1391">
        <v>1214368</v>
      </c>
      <c r="M1391">
        <v>1015675</v>
      </c>
      <c r="N1391">
        <v>198693</v>
      </c>
      <c r="O1391">
        <v>43</v>
      </c>
      <c r="P1391" t="str">
        <f t="shared" si="43"/>
        <v>adult</v>
      </c>
      <c r="Q1391" t="s">
        <v>1558</v>
      </c>
      <c r="R1391" t="s">
        <v>1561</v>
      </c>
      <c r="S1391" t="s">
        <v>1569</v>
      </c>
      <c r="T1391">
        <v>507624</v>
      </c>
      <c r="U1391">
        <v>5</v>
      </c>
      <c r="V1391" t="s">
        <v>1576</v>
      </c>
      <c r="W1391" t="s">
        <v>1594</v>
      </c>
      <c r="X1391">
        <v>16.36</v>
      </c>
    </row>
    <row r="1392" spans="1:24" x14ac:dyDescent="0.25">
      <c r="A1392" t="s">
        <v>1412</v>
      </c>
      <c r="B1392" s="4">
        <v>45818</v>
      </c>
      <c r="C1392" s="4" t="str">
        <f t="shared" si="42"/>
        <v>Jun</v>
      </c>
      <c r="D1392" t="s">
        <v>1522</v>
      </c>
      <c r="E1392" t="s">
        <v>1525</v>
      </c>
      <c r="F1392" t="s">
        <v>1535</v>
      </c>
      <c r="G1392" t="s">
        <v>1539</v>
      </c>
      <c r="H1392" t="s">
        <v>4</v>
      </c>
      <c r="I1392">
        <v>2025</v>
      </c>
      <c r="J1392" t="s">
        <v>1554</v>
      </c>
      <c r="K1392" t="s">
        <v>1556</v>
      </c>
      <c r="L1392">
        <v>1474444</v>
      </c>
      <c r="M1392">
        <v>1295039</v>
      </c>
      <c r="N1392">
        <v>179405</v>
      </c>
      <c r="O1392">
        <v>43</v>
      </c>
      <c r="P1392" t="str">
        <f t="shared" si="43"/>
        <v>adult</v>
      </c>
      <c r="Q1392" t="s">
        <v>1559</v>
      </c>
      <c r="R1392" t="s">
        <v>1563</v>
      </c>
      <c r="S1392" t="s">
        <v>1567</v>
      </c>
      <c r="T1392">
        <v>1180908</v>
      </c>
      <c r="U1392">
        <v>2</v>
      </c>
      <c r="V1392" t="s">
        <v>1584</v>
      </c>
      <c r="W1392" t="s">
        <v>1592</v>
      </c>
      <c r="X1392">
        <v>12.17</v>
      </c>
    </row>
    <row r="1393" spans="1:24" x14ac:dyDescent="0.25">
      <c r="A1393" t="s">
        <v>1413</v>
      </c>
      <c r="B1393" s="4">
        <v>45837</v>
      </c>
      <c r="C1393" s="4" t="str">
        <f t="shared" si="42"/>
        <v>Jun</v>
      </c>
      <c r="D1393" t="s">
        <v>1522</v>
      </c>
      <c r="E1393" t="s">
        <v>1524</v>
      </c>
      <c r="F1393" t="s">
        <v>1537</v>
      </c>
      <c r="G1393" t="s">
        <v>1546</v>
      </c>
      <c r="H1393" t="s">
        <v>1550</v>
      </c>
      <c r="I1393">
        <v>2024</v>
      </c>
      <c r="J1393" t="s">
        <v>1554</v>
      </c>
      <c r="K1393" t="s">
        <v>1556</v>
      </c>
      <c r="L1393">
        <v>1347913</v>
      </c>
      <c r="M1393">
        <v>1211860</v>
      </c>
      <c r="N1393">
        <v>136053</v>
      </c>
      <c r="O1393">
        <v>63</v>
      </c>
      <c r="P1393" t="str">
        <f t="shared" si="43"/>
        <v>senior</v>
      </c>
      <c r="Q1393" t="s">
        <v>1559</v>
      </c>
      <c r="R1393" t="s">
        <v>1561</v>
      </c>
      <c r="S1393" t="s">
        <v>1567</v>
      </c>
      <c r="T1393">
        <v>1965105</v>
      </c>
      <c r="U1393">
        <v>2</v>
      </c>
      <c r="V1393" t="s">
        <v>1584</v>
      </c>
      <c r="W1393" t="s">
        <v>1592</v>
      </c>
      <c r="X1393">
        <v>10.09</v>
      </c>
    </row>
    <row r="1394" spans="1:24" x14ac:dyDescent="0.25">
      <c r="A1394" t="s">
        <v>1414</v>
      </c>
      <c r="B1394" s="4">
        <v>45791</v>
      </c>
      <c r="C1394" s="4" t="str">
        <f t="shared" si="42"/>
        <v>May</v>
      </c>
      <c r="D1394" t="s">
        <v>1522</v>
      </c>
      <c r="E1394" t="s">
        <v>1524</v>
      </c>
      <c r="F1394" t="s">
        <v>1530</v>
      </c>
      <c r="G1394" t="s">
        <v>1538</v>
      </c>
      <c r="H1394" t="s">
        <v>4</v>
      </c>
      <c r="I1394">
        <v>2026</v>
      </c>
      <c r="J1394" t="s">
        <v>1554</v>
      </c>
      <c r="K1394" t="s">
        <v>1556</v>
      </c>
      <c r="L1394">
        <v>1213214</v>
      </c>
      <c r="M1394">
        <v>1088536</v>
      </c>
      <c r="N1394">
        <v>124678</v>
      </c>
      <c r="O1394">
        <v>24</v>
      </c>
      <c r="P1394" t="str">
        <f t="shared" si="43"/>
        <v>young</v>
      </c>
      <c r="Q1394" t="s">
        <v>1558</v>
      </c>
      <c r="R1394" t="s">
        <v>1565</v>
      </c>
      <c r="S1394" t="s">
        <v>1569</v>
      </c>
      <c r="T1394">
        <v>1029167</v>
      </c>
      <c r="U1394">
        <v>2</v>
      </c>
      <c r="V1394" t="s">
        <v>1572</v>
      </c>
      <c r="W1394" t="s">
        <v>1592</v>
      </c>
      <c r="X1394">
        <v>10.28</v>
      </c>
    </row>
    <row r="1395" spans="1:24" x14ac:dyDescent="0.25">
      <c r="A1395" t="s">
        <v>1415</v>
      </c>
      <c r="B1395" s="4">
        <v>45921</v>
      </c>
      <c r="C1395" s="4" t="str">
        <f t="shared" si="42"/>
        <v>Sep</v>
      </c>
      <c r="D1395" t="s">
        <v>1522</v>
      </c>
      <c r="E1395" t="s">
        <v>1525</v>
      </c>
      <c r="F1395" t="s">
        <v>1533</v>
      </c>
      <c r="G1395" t="s">
        <v>1538</v>
      </c>
      <c r="H1395" t="s">
        <v>4</v>
      </c>
      <c r="I1395">
        <v>2026</v>
      </c>
      <c r="J1395" t="s">
        <v>1554</v>
      </c>
      <c r="K1395" t="s">
        <v>1556</v>
      </c>
      <c r="L1395">
        <v>1360825</v>
      </c>
      <c r="M1395">
        <v>1095401</v>
      </c>
      <c r="N1395">
        <v>265424</v>
      </c>
      <c r="O1395">
        <v>33</v>
      </c>
      <c r="P1395" t="str">
        <f t="shared" si="43"/>
        <v>adult</v>
      </c>
      <c r="Q1395" t="s">
        <v>1559</v>
      </c>
      <c r="R1395" t="s">
        <v>1562</v>
      </c>
      <c r="S1395" t="s">
        <v>1567</v>
      </c>
      <c r="T1395">
        <v>247493</v>
      </c>
      <c r="U1395">
        <v>4</v>
      </c>
      <c r="V1395" t="s">
        <v>1577</v>
      </c>
      <c r="W1395" t="s">
        <v>1594</v>
      </c>
      <c r="X1395">
        <v>19.5</v>
      </c>
    </row>
    <row r="1396" spans="1:24" x14ac:dyDescent="0.25">
      <c r="A1396" t="s">
        <v>1416</v>
      </c>
      <c r="B1396" s="4">
        <v>46070</v>
      </c>
      <c r="C1396" s="4" t="str">
        <f t="shared" si="42"/>
        <v>Feb</v>
      </c>
      <c r="D1396" t="s">
        <v>1522</v>
      </c>
      <c r="E1396" t="s">
        <v>1526</v>
      </c>
      <c r="F1396" t="s">
        <v>1532</v>
      </c>
      <c r="G1396" t="s">
        <v>1549</v>
      </c>
      <c r="H1396" t="s">
        <v>1550</v>
      </c>
      <c r="I1396">
        <v>2024</v>
      </c>
      <c r="J1396" t="s">
        <v>1554</v>
      </c>
      <c r="K1396" t="s">
        <v>1557</v>
      </c>
      <c r="L1396">
        <v>1170814</v>
      </c>
      <c r="M1396">
        <v>1043356</v>
      </c>
      <c r="N1396">
        <v>127458</v>
      </c>
      <c r="O1396">
        <v>58</v>
      </c>
      <c r="P1396" t="str">
        <f t="shared" si="43"/>
        <v>senior</v>
      </c>
      <c r="Q1396" t="s">
        <v>1558</v>
      </c>
      <c r="R1396" t="s">
        <v>1561</v>
      </c>
      <c r="S1396" t="s">
        <v>1567</v>
      </c>
      <c r="T1396">
        <v>1795637</v>
      </c>
      <c r="U1396">
        <v>3</v>
      </c>
      <c r="V1396" t="s">
        <v>1589</v>
      </c>
      <c r="W1396" t="s">
        <v>1591</v>
      </c>
      <c r="X1396">
        <v>10.89</v>
      </c>
    </row>
    <row r="1397" spans="1:24" x14ac:dyDescent="0.25">
      <c r="A1397" t="s">
        <v>1417</v>
      </c>
      <c r="B1397" s="4">
        <v>46133</v>
      </c>
      <c r="C1397" s="4" t="str">
        <f t="shared" si="42"/>
        <v>Apr</v>
      </c>
      <c r="D1397" t="s">
        <v>1522</v>
      </c>
      <c r="E1397" t="s">
        <v>1527</v>
      </c>
      <c r="F1397" t="s">
        <v>1533</v>
      </c>
      <c r="G1397" t="s">
        <v>1547</v>
      </c>
      <c r="H1397" t="s">
        <v>1550</v>
      </c>
      <c r="I1397">
        <v>2025</v>
      </c>
      <c r="J1397" t="s">
        <v>1554</v>
      </c>
      <c r="K1397" t="s">
        <v>1556</v>
      </c>
      <c r="L1397">
        <v>1293558</v>
      </c>
      <c r="M1397">
        <v>1146068</v>
      </c>
      <c r="N1397">
        <v>147490</v>
      </c>
      <c r="O1397">
        <v>51</v>
      </c>
      <c r="P1397" t="str">
        <f t="shared" si="43"/>
        <v>senior</v>
      </c>
      <c r="Q1397" t="s">
        <v>1558</v>
      </c>
      <c r="R1397" t="s">
        <v>1562</v>
      </c>
      <c r="S1397" t="s">
        <v>1567</v>
      </c>
      <c r="T1397">
        <v>1230334</v>
      </c>
      <c r="U1397">
        <v>5</v>
      </c>
      <c r="V1397" t="s">
        <v>1580</v>
      </c>
      <c r="W1397" t="s">
        <v>1592</v>
      </c>
      <c r="X1397">
        <v>11.4</v>
      </c>
    </row>
    <row r="1398" spans="1:24" x14ac:dyDescent="0.25">
      <c r="A1398" t="s">
        <v>1418</v>
      </c>
      <c r="B1398" s="4">
        <v>46112</v>
      </c>
      <c r="C1398" s="4" t="str">
        <f t="shared" si="42"/>
        <v>Mar</v>
      </c>
      <c r="D1398" t="s">
        <v>1522</v>
      </c>
      <c r="E1398" t="s">
        <v>1523</v>
      </c>
      <c r="F1398" t="s">
        <v>1531</v>
      </c>
      <c r="G1398" t="s">
        <v>1546</v>
      </c>
      <c r="H1398" t="s">
        <v>4</v>
      </c>
      <c r="I1398">
        <v>2022</v>
      </c>
      <c r="J1398" t="s">
        <v>1554</v>
      </c>
      <c r="K1398" t="s">
        <v>1556</v>
      </c>
      <c r="L1398">
        <v>1600079</v>
      </c>
      <c r="M1398">
        <v>1307630</v>
      </c>
      <c r="N1398">
        <v>292449</v>
      </c>
      <c r="O1398">
        <v>53</v>
      </c>
      <c r="P1398" t="str">
        <f t="shared" si="43"/>
        <v>senior</v>
      </c>
      <c r="Q1398" t="s">
        <v>1558</v>
      </c>
      <c r="R1398" t="s">
        <v>1563</v>
      </c>
      <c r="S1398" t="s">
        <v>1567</v>
      </c>
      <c r="T1398">
        <v>2163370</v>
      </c>
      <c r="U1398">
        <v>5</v>
      </c>
      <c r="V1398" t="s">
        <v>1586</v>
      </c>
      <c r="W1398" t="s">
        <v>1591</v>
      </c>
      <c r="X1398">
        <v>18.28</v>
      </c>
    </row>
    <row r="1399" spans="1:24" x14ac:dyDescent="0.25">
      <c r="A1399" t="s">
        <v>1419</v>
      </c>
      <c r="B1399" s="4">
        <v>45691</v>
      </c>
      <c r="C1399" s="4" t="str">
        <f t="shared" si="42"/>
        <v>Feb</v>
      </c>
      <c r="D1399" t="s">
        <v>1522</v>
      </c>
      <c r="E1399" t="s">
        <v>1524</v>
      </c>
      <c r="F1399" t="s">
        <v>1533</v>
      </c>
      <c r="G1399" t="s">
        <v>1546</v>
      </c>
      <c r="H1399" t="s">
        <v>1550</v>
      </c>
      <c r="I1399">
        <v>2025</v>
      </c>
      <c r="J1399" t="s">
        <v>1554</v>
      </c>
      <c r="K1399" t="s">
        <v>1557</v>
      </c>
      <c r="L1399">
        <v>1499490</v>
      </c>
      <c r="M1399">
        <v>1329401</v>
      </c>
      <c r="N1399">
        <v>170089</v>
      </c>
      <c r="O1399">
        <v>24</v>
      </c>
      <c r="P1399" t="str">
        <f t="shared" si="43"/>
        <v>young</v>
      </c>
      <c r="Q1399" t="s">
        <v>1558</v>
      </c>
      <c r="R1399" t="s">
        <v>1563</v>
      </c>
      <c r="S1399" t="s">
        <v>1567</v>
      </c>
      <c r="T1399">
        <v>2163563</v>
      </c>
      <c r="U1399">
        <v>4</v>
      </c>
      <c r="V1399" t="s">
        <v>1578</v>
      </c>
      <c r="W1399" t="s">
        <v>1591</v>
      </c>
      <c r="X1399">
        <v>11.34</v>
      </c>
    </row>
    <row r="1400" spans="1:24" x14ac:dyDescent="0.25">
      <c r="A1400" t="s">
        <v>1420</v>
      </c>
      <c r="B1400" s="4">
        <v>45713</v>
      </c>
      <c r="C1400" s="4" t="str">
        <f t="shared" si="42"/>
        <v>Feb</v>
      </c>
      <c r="D1400" t="s">
        <v>1522</v>
      </c>
      <c r="E1400" t="s">
        <v>1523</v>
      </c>
      <c r="F1400" t="s">
        <v>1536</v>
      </c>
      <c r="G1400" t="s">
        <v>1546</v>
      </c>
      <c r="H1400" t="s">
        <v>1551</v>
      </c>
      <c r="I1400">
        <v>2023</v>
      </c>
      <c r="J1400" t="s">
        <v>1554</v>
      </c>
      <c r="K1400" t="s">
        <v>1556</v>
      </c>
      <c r="L1400">
        <v>1049778</v>
      </c>
      <c r="M1400">
        <v>980706</v>
      </c>
      <c r="N1400">
        <v>69072</v>
      </c>
      <c r="O1400">
        <v>60</v>
      </c>
      <c r="P1400" t="str">
        <f t="shared" si="43"/>
        <v>senior</v>
      </c>
      <c r="Q1400" t="s">
        <v>1558</v>
      </c>
      <c r="R1400" t="s">
        <v>1561</v>
      </c>
      <c r="S1400" t="s">
        <v>1567</v>
      </c>
      <c r="T1400">
        <v>418146</v>
      </c>
      <c r="U1400">
        <v>5</v>
      </c>
      <c r="V1400" t="s">
        <v>1578</v>
      </c>
      <c r="W1400" t="s">
        <v>1591</v>
      </c>
      <c r="X1400">
        <v>6.58</v>
      </c>
    </row>
    <row r="1401" spans="1:24" x14ac:dyDescent="0.25">
      <c r="A1401" t="s">
        <v>1421</v>
      </c>
      <c r="B1401" s="4">
        <v>46232</v>
      </c>
      <c r="C1401" s="4" t="str">
        <f t="shared" si="42"/>
        <v>Jul</v>
      </c>
      <c r="D1401" t="s">
        <v>1522</v>
      </c>
      <c r="E1401" t="s">
        <v>1526</v>
      </c>
      <c r="F1401" t="s">
        <v>1535</v>
      </c>
      <c r="G1401" t="s">
        <v>1546</v>
      </c>
      <c r="H1401" t="s">
        <v>1550</v>
      </c>
      <c r="I1401">
        <v>2024</v>
      </c>
      <c r="J1401" t="s">
        <v>1554</v>
      </c>
      <c r="K1401" t="s">
        <v>1557</v>
      </c>
      <c r="L1401">
        <v>1264610</v>
      </c>
      <c r="M1401">
        <v>1085044</v>
      </c>
      <c r="N1401">
        <v>179566</v>
      </c>
      <c r="O1401">
        <v>40</v>
      </c>
      <c r="P1401" t="str">
        <f t="shared" si="43"/>
        <v>adult</v>
      </c>
      <c r="Q1401" t="s">
        <v>1558</v>
      </c>
      <c r="R1401" t="s">
        <v>1564</v>
      </c>
      <c r="S1401" t="s">
        <v>1570</v>
      </c>
      <c r="T1401">
        <v>469450</v>
      </c>
      <c r="U1401">
        <v>4</v>
      </c>
      <c r="V1401" t="s">
        <v>1587</v>
      </c>
      <c r="W1401" t="s">
        <v>1594</v>
      </c>
      <c r="X1401">
        <v>14.2</v>
      </c>
    </row>
    <row r="1402" spans="1:24" x14ac:dyDescent="0.25">
      <c r="A1402" t="s">
        <v>1422</v>
      </c>
      <c r="B1402" s="4">
        <v>46140</v>
      </c>
      <c r="C1402" s="4" t="str">
        <f t="shared" si="42"/>
        <v>Apr</v>
      </c>
      <c r="D1402" t="s">
        <v>1522</v>
      </c>
      <c r="E1402" t="s">
        <v>1526</v>
      </c>
      <c r="F1402" t="s">
        <v>1536</v>
      </c>
      <c r="G1402" t="s">
        <v>1544</v>
      </c>
      <c r="H1402" t="s">
        <v>1550</v>
      </c>
      <c r="I1402">
        <v>2026</v>
      </c>
      <c r="J1402" t="s">
        <v>1554</v>
      </c>
      <c r="K1402" t="s">
        <v>1556</v>
      </c>
      <c r="L1402">
        <v>1220271</v>
      </c>
      <c r="M1402">
        <v>1143425</v>
      </c>
      <c r="N1402">
        <v>76846</v>
      </c>
      <c r="O1402">
        <v>26</v>
      </c>
      <c r="P1402" t="str">
        <f t="shared" si="43"/>
        <v>young</v>
      </c>
      <c r="Q1402" t="s">
        <v>1558</v>
      </c>
      <c r="R1402" t="s">
        <v>1564</v>
      </c>
      <c r="S1402" t="s">
        <v>1568</v>
      </c>
      <c r="T1402">
        <v>103178</v>
      </c>
      <c r="U1402">
        <v>1</v>
      </c>
      <c r="V1402" t="s">
        <v>1580</v>
      </c>
      <c r="W1402" t="s">
        <v>1592</v>
      </c>
      <c r="X1402">
        <v>6.3</v>
      </c>
    </row>
    <row r="1403" spans="1:24" x14ac:dyDescent="0.25">
      <c r="A1403" t="s">
        <v>1423</v>
      </c>
      <c r="B1403" s="4">
        <v>46152</v>
      </c>
      <c r="C1403" s="4" t="str">
        <f t="shared" si="42"/>
        <v>May</v>
      </c>
      <c r="D1403" t="s">
        <v>1522</v>
      </c>
      <c r="E1403" t="s">
        <v>1526</v>
      </c>
      <c r="F1403" t="s">
        <v>1530</v>
      </c>
      <c r="G1403" t="s">
        <v>1543</v>
      </c>
      <c r="H1403" t="s">
        <v>1550</v>
      </c>
      <c r="I1403">
        <v>2023</v>
      </c>
      <c r="J1403" t="s">
        <v>1554</v>
      </c>
      <c r="K1403" t="s">
        <v>1556</v>
      </c>
      <c r="L1403">
        <v>1321845</v>
      </c>
      <c r="M1403">
        <v>1242986</v>
      </c>
      <c r="N1403">
        <v>78859</v>
      </c>
      <c r="O1403">
        <v>34</v>
      </c>
      <c r="P1403" t="str">
        <f t="shared" si="43"/>
        <v>adult</v>
      </c>
      <c r="Q1403" t="s">
        <v>1559</v>
      </c>
      <c r="R1403" t="s">
        <v>1565</v>
      </c>
      <c r="S1403" t="s">
        <v>1570</v>
      </c>
      <c r="T1403">
        <v>50591</v>
      </c>
      <c r="U1403">
        <v>2</v>
      </c>
      <c r="V1403" t="s">
        <v>1590</v>
      </c>
      <c r="W1403" t="s">
        <v>1592</v>
      </c>
      <c r="X1403">
        <v>5.97</v>
      </c>
    </row>
    <row r="1404" spans="1:24" x14ac:dyDescent="0.25">
      <c r="A1404" t="s">
        <v>1424</v>
      </c>
      <c r="B1404" s="4">
        <v>45718</v>
      </c>
      <c r="C1404" s="4" t="str">
        <f t="shared" si="42"/>
        <v>Mar</v>
      </c>
      <c r="D1404" t="s">
        <v>1522</v>
      </c>
      <c r="E1404" t="s">
        <v>1526</v>
      </c>
      <c r="F1404" t="s">
        <v>1533</v>
      </c>
      <c r="G1404" t="s">
        <v>1547</v>
      </c>
      <c r="H1404" t="s">
        <v>1550</v>
      </c>
      <c r="I1404">
        <v>2025</v>
      </c>
      <c r="J1404" t="s">
        <v>1554</v>
      </c>
      <c r="K1404" t="s">
        <v>1556</v>
      </c>
      <c r="L1404">
        <v>1714497</v>
      </c>
      <c r="M1404">
        <v>1448778</v>
      </c>
      <c r="N1404">
        <v>265719</v>
      </c>
      <c r="O1404">
        <v>28</v>
      </c>
      <c r="P1404" t="str">
        <f t="shared" si="43"/>
        <v>young</v>
      </c>
      <c r="Q1404" t="s">
        <v>1558</v>
      </c>
      <c r="R1404" t="s">
        <v>1564</v>
      </c>
      <c r="S1404" t="s">
        <v>1567</v>
      </c>
      <c r="T1404">
        <v>741785</v>
      </c>
      <c r="U1404">
        <v>2</v>
      </c>
      <c r="V1404" t="s">
        <v>1588</v>
      </c>
      <c r="W1404" t="s">
        <v>1591</v>
      </c>
      <c r="X1404">
        <v>15.5</v>
      </c>
    </row>
    <row r="1405" spans="1:24" x14ac:dyDescent="0.25">
      <c r="A1405" t="s">
        <v>1425</v>
      </c>
      <c r="B1405" s="4">
        <v>46247</v>
      </c>
      <c r="C1405" s="4" t="str">
        <f t="shared" si="42"/>
        <v>Aug</v>
      </c>
      <c r="D1405" t="s">
        <v>1522</v>
      </c>
      <c r="E1405" t="s">
        <v>1526</v>
      </c>
      <c r="F1405" t="s">
        <v>1532</v>
      </c>
      <c r="G1405" t="s">
        <v>1544</v>
      </c>
      <c r="H1405" t="s">
        <v>4</v>
      </c>
      <c r="I1405">
        <v>2022</v>
      </c>
      <c r="J1405" t="s">
        <v>1553</v>
      </c>
      <c r="K1405" t="s">
        <v>1556</v>
      </c>
      <c r="L1405">
        <v>1324507</v>
      </c>
      <c r="M1405">
        <v>1234356</v>
      </c>
      <c r="N1405">
        <v>90151</v>
      </c>
      <c r="O1405">
        <v>45</v>
      </c>
      <c r="P1405" t="str">
        <f t="shared" si="43"/>
        <v>adult</v>
      </c>
      <c r="Q1405" t="s">
        <v>1558</v>
      </c>
      <c r="R1405" t="s">
        <v>1566</v>
      </c>
      <c r="S1405" t="s">
        <v>1568</v>
      </c>
      <c r="T1405">
        <v>195637</v>
      </c>
      <c r="U1405">
        <v>4</v>
      </c>
      <c r="V1405" t="s">
        <v>1576</v>
      </c>
      <c r="W1405" t="s">
        <v>1594</v>
      </c>
      <c r="X1405">
        <v>6.81</v>
      </c>
    </row>
    <row r="1406" spans="1:24" x14ac:dyDescent="0.25">
      <c r="A1406" t="s">
        <v>1426</v>
      </c>
      <c r="B1406" s="4">
        <v>46080</v>
      </c>
      <c r="C1406" s="4" t="str">
        <f t="shared" si="42"/>
        <v>Feb</v>
      </c>
      <c r="D1406" t="s">
        <v>1522</v>
      </c>
      <c r="E1406" t="s">
        <v>1523</v>
      </c>
      <c r="F1406" t="s">
        <v>1531</v>
      </c>
      <c r="G1406" t="s">
        <v>1544</v>
      </c>
      <c r="H1406" t="s">
        <v>1551</v>
      </c>
      <c r="I1406">
        <v>2026</v>
      </c>
      <c r="J1406" t="s">
        <v>1554</v>
      </c>
      <c r="K1406" t="s">
        <v>1556</v>
      </c>
      <c r="L1406">
        <v>867859</v>
      </c>
      <c r="M1406">
        <v>751141</v>
      </c>
      <c r="N1406">
        <v>116718</v>
      </c>
      <c r="O1406">
        <v>62</v>
      </c>
      <c r="P1406" t="str">
        <f t="shared" si="43"/>
        <v>senior</v>
      </c>
      <c r="Q1406" t="s">
        <v>1558</v>
      </c>
      <c r="R1406" t="s">
        <v>1562</v>
      </c>
      <c r="S1406" t="s">
        <v>1570</v>
      </c>
      <c r="T1406">
        <v>1230570</v>
      </c>
      <c r="U1406">
        <v>4</v>
      </c>
      <c r="V1406" t="s">
        <v>1589</v>
      </c>
      <c r="W1406" t="s">
        <v>1591</v>
      </c>
      <c r="X1406">
        <v>13.45</v>
      </c>
    </row>
    <row r="1407" spans="1:24" x14ac:dyDescent="0.25">
      <c r="A1407" t="s">
        <v>1427</v>
      </c>
      <c r="B1407" s="4">
        <v>46220</v>
      </c>
      <c r="C1407" s="4" t="str">
        <f t="shared" si="42"/>
        <v>Jul</v>
      </c>
      <c r="D1407" t="s">
        <v>1522</v>
      </c>
      <c r="E1407" t="s">
        <v>1524</v>
      </c>
      <c r="F1407" t="s">
        <v>1531</v>
      </c>
      <c r="G1407" t="s">
        <v>1546</v>
      </c>
      <c r="H1407" t="s">
        <v>4</v>
      </c>
      <c r="I1407">
        <v>2023</v>
      </c>
      <c r="J1407" t="s">
        <v>1553</v>
      </c>
      <c r="K1407" t="s">
        <v>1556</v>
      </c>
      <c r="L1407">
        <v>1318208</v>
      </c>
      <c r="M1407">
        <v>1109985</v>
      </c>
      <c r="N1407">
        <v>208223</v>
      </c>
      <c r="O1407">
        <v>36</v>
      </c>
      <c r="P1407" t="str">
        <f t="shared" si="43"/>
        <v>adult</v>
      </c>
      <c r="Q1407" t="s">
        <v>1559</v>
      </c>
      <c r="R1407" t="s">
        <v>1563</v>
      </c>
      <c r="S1407" t="s">
        <v>1570</v>
      </c>
      <c r="T1407">
        <v>1289512</v>
      </c>
      <c r="U1407">
        <v>4</v>
      </c>
      <c r="V1407" t="s">
        <v>1587</v>
      </c>
      <c r="W1407" t="s">
        <v>1594</v>
      </c>
      <c r="X1407">
        <v>15.8</v>
      </c>
    </row>
    <row r="1408" spans="1:24" x14ac:dyDescent="0.25">
      <c r="A1408" t="s">
        <v>1428</v>
      </c>
      <c r="B1408" s="4">
        <v>45842</v>
      </c>
      <c r="C1408" s="4" t="str">
        <f t="shared" si="42"/>
        <v>Jul</v>
      </c>
      <c r="D1408" t="s">
        <v>1522</v>
      </c>
      <c r="E1408" t="s">
        <v>1523</v>
      </c>
      <c r="F1408" t="s">
        <v>1536</v>
      </c>
      <c r="G1408" t="s">
        <v>1542</v>
      </c>
      <c r="H1408" t="s">
        <v>4</v>
      </c>
      <c r="I1408">
        <v>2022</v>
      </c>
      <c r="J1408" t="s">
        <v>1553</v>
      </c>
      <c r="K1408" t="s">
        <v>1557</v>
      </c>
      <c r="L1408">
        <v>1784643</v>
      </c>
      <c r="M1408">
        <v>1608778</v>
      </c>
      <c r="N1408">
        <v>175865</v>
      </c>
      <c r="O1408">
        <v>56</v>
      </c>
      <c r="P1408" t="str">
        <f t="shared" si="43"/>
        <v>senior</v>
      </c>
      <c r="Q1408" t="s">
        <v>1559</v>
      </c>
      <c r="R1408" t="s">
        <v>1565</v>
      </c>
      <c r="S1408" t="s">
        <v>1568</v>
      </c>
      <c r="T1408">
        <v>1799927</v>
      </c>
      <c r="U1408">
        <v>1</v>
      </c>
      <c r="V1408" t="s">
        <v>1579</v>
      </c>
      <c r="W1408" t="s">
        <v>1594</v>
      </c>
      <c r="X1408">
        <v>9.85</v>
      </c>
    </row>
    <row r="1409" spans="1:24" x14ac:dyDescent="0.25">
      <c r="A1409" t="s">
        <v>1429</v>
      </c>
      <c r="B1409" s="4">
        <v>45833</v>
      </c>
      <c r="C1409" s="4" t="str">
        <f t="shared" si="42"/>
        <v>Jun</v>
      </c>
      <c r="D1409" t="s">
        <v>1522</v>
      </c>
      <c r="E1409" t="s">
        <v>1526</v>
      </c>
      <c r="F1409" t="s">
        <v>1535</v>
      </c>
      <c r="G1409" t="s">
        <v>1542</v>
      </c>
      <c r="H1409" t="s">
        <v>4</v>
      </c>
      <c r="I1409">
        <v>2023</v>
      </c>
      <c r="J1409" t="s">
        <v>1554</v>
      </c>
      <c r="K1409" t="s">
        <v>1557</v>
      </c>
      <c r="L1409">
        <v>1632089</v>
      </c>
      <c r="M1409">
        <v>1353138</v>
      </c>
      <c r="N1409">
        <v>278951</v>
      </c>
      <c r="O1409">
        <v>38</v>
      </c>
      <c r="P1409" t="str">
        <f t="shared" si="43"/>
        <v>adult</v>
      </c>
      <c r="Q1409" t="s">
        <v>1558</v>
      </c>
      <c r="R1409" t="s">
        <v>1563</v>
      </c>
      <c r="S1409" t="s">
        <v>1567</v>
      </c>
      <c r="T1409">
        <v>1861944</v>
      </c>
      <c r="U1409">
        <v>4</v>
      </c>
      <c r="V1409" t="s">
        <v>1584</v>
      </c>
      <c r="W1409" t="s">
        <v>1592</v>
      </c>
      <c r="X1409">
        <v>17.09</v>
      </c>
    </row>
    <row r="1410" spans="1:24" x14ac:dyDescent="0.25">
      <c r="A1410" t="s">
        <v>1430</v>
      </c>
      <c r="B1410" s="4">
        <v>46212</v>
      </c>
      <c r="C1410" s="4" t="str">
        <f t="shared" si="42"/>
        <v>Jul</v>
      </c>
      <c r="D1410" t="s">
        <v>1522</v>
      </c>
      <c r="E1410" t="s">
        <v>1523</v>
      </c>
      <c r="F1410" t="s">
        <v>1536</v>
      </c>
      <c r="G1410" t="s">
        <v>1549</v>
      </c>
      <c r="H1410" t="s">
        <v>1551</v>
      </c>
      <c r="I1410">
        <v>2025</v>
      </c>
      <c r="J1410" t="s">
        <v>1554</v>
      </c>
      <c r="K1410" t="s">
        <v>1557</v>
      </c>
      <c r="L1410">
        <v>882076</v>
      </c>
      <c r="M1410">
        <v>816371</v>
      </c>
      <c r="N1410">
        <v>65705</v>
      </c>
      <c r="O1410">
        <v>44</v>
      </c>
      <c r="P1410" t="str">
        <f t="shared" si="43"/>
        <v>adult</v>
      </c>
      <c r="Q1410" t="s">
        <v>1558</v>
      </c>
      <c r="R1410" t="s">
        <v>1565</v>
      </c>
      <c r="S1410" t="s">
        <v>1569</v>
      </c>
      <c r="T1410">
        <v>1070267</v>
      </c>
      <c r="U1410">
        <v>4</v>
      </c>
      <c r="V1410" t="s">
        <v>1587</v>
      </c>
      <c r="W1410" t="s">
        <v>1594</v>
      </c>
      <c r="X1410">
        <v>7.45</v>
      </c>
    </row>
    <row r="1411" spans="1:24" x14ac:dyDescent="0.25">
      <c r="A1411" t="s">
        <v>1431</v>
      </c>
      <c r="B1411" s="4">
        <v>45903</v>
      </c>
      <c r="C1411" s="4" t="str">
        <f t="shared" ref="C1411:C1474" si="44">TEXT(B1411,"MMM")</f>
        <v>Sep</v>
      </c>
      <c r="D1411" t="s">
        <v>1522</v>
      </c>
      <c r="E1411" t="s">
        <v>1524</v>
      </c>
      <c r="F1411" t="s">
        <v>1531</v>
      </c>
      <c r="G1411" t="s">
        <v>1547</v>
      </c>
      <c r="H1411" t="s">
        <v>4</v>
      </c>
      <c r="I1411">
        <v>2024</v>
      </c>
      <c r="J1411" t="s">
        <v>1554</v>
      </c>
      <c r="K1411" t="s">
        <v>1557</v>
      </c>
      <c r="L1411">
        <v>1510256</v>
      </c>
      <c r="M1411">
        <v>1411244</v>
      </c>
      <c r="N1411">
        <v>99012</v>
      </c>
      <c r="O1411">
        <v>31</v>
      </c>
      <c r="P1411" t="str">
        <f t="shared" ref="P1411:P1474" si="45">IF(O1411&gt;50,"senior",IF(O1411&gt;30,"adult","young"))</f>
        <v>adult</v>
      </c>
      <c r="Q1411" t="s">
        <v>1558</v>
      </c>
      <c r="R1411" t="s">
        <v>1561</v>
      </c>
      <c r="S1411" t="s">
        <v>1570</v>
      </c>
      <c r="T1411">
        <v>1988166</v>
      </c>
      <c r="U1411">
        <v>1</v>
      </c>
      <c r="V1411" t="s">
        <v>1577</v>
      </c>
      <c r="W1411" t="s">
        <v>1594</v>
      </c>
      <c r="X1411">
        <v>6.56</v>
      </c>
    </row>
    <row r="1412" spans="1:24" x14ac:dyDescent="0.25">
      <c r="A1412" t="s">
        <v>1432</v>
      </c>
      <c r="B1412" s="4">
        <v>46154</v>
      </c>
      <c r="C1412" s="4" t="str">
        <f t="shared" si="44"/>
        <v>May</v>
      </c>
      <c r="D1412" t="s">
        <v>1522</v>
      </c>
      <c r="E1412" t="s">
        <v>1524</v>
      </c>
      <c r="F1412" t="s">
        <v>1528</v>
      </c>
      <c r="G1412" t="s">
        <v>1538</v>
      </c>
      <c r="H1412" t="s">
        <v>4</v>
      </c>
      <c r="I1412">
        <v>2023</v>
      </c>
      <c r="J1412" t="s">
        <v>1554</v>
      </c>
      <c r="K1412" t="s">
        <v>1557</v>
      </c>
      <c r="L1412">
        <v>1823233</v>
      </c>
      <c r="M1412">
        <v>1497338</v>
      </c>
      <c r="N1412">
        <v>325895</v>
      </c>
      <c r="O1412">
        <v>39</v>
      </c>
      <c r="P1412" t="str">
        <f t="shared" si="45"/>
        <v>adult</v>
      </c>
      <c r="Q1412" t="s">
        <v>1558</v>
      </c>
      <c r="R1412" t="s">
        <v>1562</v>
      </c>
      <c r="S1412" t="s">
        <v>1567</v>
      </c>
      <c r="T1412">
        <v>300013</v>
      </c>
      <c r="U1412">
        <v>3</v>
      </c>
      <c r="V1412" t="s">
        <v>1590</v>
      </c>
      <c r="W1412" t="s">
        <v>1592</v>
      </c>
      <c r="X1412">
        <v>17.87</v>
      </c>
    </row>
    <row r="1413" spans="1:24" x14ac:dyDescent="0.25">
      <c r="A1413" t="s">
        <v>1433</v>
      </c>
      <c r="B1413" s="4">
        <v>45934</v>
      </c>
      <c r="C1413" s="4" t="str">
        <f t="shared" si="44"/>
        <v>Oct</v>
      </c>
      <c r="D1413" t="s">
        <v>1522</v>
      </c>
      <c r="E1413" t="s">
        <v>1527</v>
      </c>
      <c r="F1413" t="s">
        <v>1536</v>
      </c>
      <c r="G1413" t="s">
        <v>1543</v>
      </c>
      <c r="H1413" t="s">
        <v>1550</v>
      </c>
      <c r="I1413">
        <v>2025</v>
      </c>
      <c r="J1413" t="s">
        <v>1554</v>
      </c>
      <c r="K1413" t="s">
        <v>1557</v>
      </c>
      <c r="L1413">
        <v>1686555</v>
      </c>
      <c r="M1413">
        <v>1459022</v>
      </c>
      <c r="N1413">
        <v>227533</v>
      </c>
      <c r="O1413">
        <v>61</v>
      </c>
      <c r="P1413" t="str">
        <f t="shared" si="45"/>
        <v>senior</v>
      </c>
      <c r="Q1413" t="s">
        <v>1558</v>
      </c>
      <c r="R1413" t="s">
        <v>1566</v>
      </c>
      <c r="S1413" t="s">
        <v>1569</v>
      </c>
      <c r="T1413">
        <v>338892</v>
      </c>
      <c r="U1413">
        <v>2</v>
      </c>
      <c r="V1413" t="s">
        <v>1574</v>
      </c>
      <c r="W1413" t="s">
        <v>1593</v>
      </c>
      <c r="X1413">
        <v>13.49</v>
      </c>
    </row>
    <row r="1414" spans="1:24" x14ac:dyDescent="0.25">
      <c r="A1414" t="s">
        <v>1434</v>
      </c>
      <c r="B1414" s="4">
        <v>46111</v>
      </c>
      <c r="C1414" s="4" t="str">
        <f t="shared" si="44"/>
        <v>Mar</v>
      </c>
      <c r="D1414" t="s">
        <v>1522</v>
      </c>
      <c r="E1414" t="s">
        <v>1523</v>
      </c>
      <c r="F1414" t="s">
        <v>1531</v>
      </c>
      <c r="G1414" t="s">
        <v>1549</v>
      </c>
      <c r="H1414" t="s">
        <v>4</v>
      </c>
      <c r="I1414">
        <v>2025</v>
      </c>
      <c r="J1414" t="s">
        <v>1554</v>
      </c>
      <c r="K1414" t="s">
        <v>1557</v>
      </c>
      <c r="L1414">
        <v>1663849</v>
      </c>
      <c r="M1414">
        <v>1445995</v>
      </c>
      <c r="N1414">
        <v>217854</v>
      </c>
      <c r="O1414">
        <v>28</v>
      </c>
      <c r="P1414" t="str">
        <f t="shared" si="45"/>
        <v>young</v>
      </c>
      <c r="Q1414" t="s">
        <v>1558</v>
      </c>
      <c r="R1414" t="s">
        <v>1566</v>
      </c>
      <c r="S1414" t="s">
        <v>1567</v>
      </c>
      <c r="T1414">
        <v>1995326</v>
      </c>
      <c r="U1414">
        <v>4</v>
      </c>
      <c r="V1414" t="s">
        <v>1586</v>
      </c>
      <c r="W1414" t="s">
        <v>1591</v>
      </c>
      <c r="X1414">
        <v>13.09</v>
      </c>
    </row>
    <row r="1415" spans="1:24" x14ac:dyDescent="0.25">
      <c r="A1415" t="s">
        <v>1435</v>
      </c>
      <c r="B1415" s="4">
        <v>45659</v>
      </c>
      <c r="C1415" s="4" t="str">
        <f t="shared" si="44"/>
        <v>Jan</v>
      </c>
      <c r="D1415" t="s">
        <v>1522</v>
      </c>
      <c r="E1415" t="s">
        <v>1523</v>
      </c>
      <c r="F1415" t="s">
        <v>1529</v>
      </c>
      <c r="G1415" t="s">
        <v>1542</v>
      </c>
      <c r="H1415" t="s">
        <v>1551</v>
      </c>
      <c r="I1415">
        <v>2023</v>
      </c>
      <c r="J1415" t="s">
        <v>1554</v>
      </c>
      <c r="K1415" t="s">
        <v>1557</v>
      </c>
      <c r="L1415">
        <v>959625</v>
      </c>
      <c r="M1415">
        <v>894988</v>
      </c>
      <c r="N1415">
        <v>64637</v>
      </c>
      <c r="O1415">
        <v>21</v>
      </c>
      <c r="P1415" t="str">
        <f t="shared" si="45"/>
        <v>young</v>
      </c>
      <c r="Q1415" t="s">
        <v>1558</v>
      </c>
      <c r="R1415" t="s">
        <v>1564</v>
      </c>
      <c r="S1415" t="s">
        <v>1570</v>
      </c>
      <c r="T1415">
        <v>1308924</v>
      </c>
      <c r="U1415">
        <v>4</v>
      </c>
      <c r="V1415" t="s">
        <v>1571</v>
      </c>
      <c r="W1415" t="s">
        <v>1591</v>
      </c>
      <c r="X1415">
        <v>6.74</v>
      </c>
    </row>
    <row r="1416" spans="1:24" x14ac:dyDescent="0.25">
      <c r="A1416" t="s">
        <v>1436</v>
      </c>
      <c r="B1416" s="4">
        <v>45964</v>
      </c>
      <c r="C1416" s="4" t="str">
        <f t="shared" si="44"/>
        <v>Nov</v>
      </c>
      <c r="D1416" t="s">
        <v>1522</v>
      </c>
      <c r="E1416" t="s">
        <v>1524</v>
      </c>
      <c r="F1416" t="s">
        <v>1530</v>
      </c>
      <c r="G1416" t="s">
        <v>1538</v>
      </c>
      <c r="H1416" t="s">
        <v>1550</v>
      </c>
      <c r="I1416">
        <v>2025</v>
      </c>
      <c r="J1416" t="s">
        <v>1554</v>
      </c>
      <c r="K1416" t="s">
        <v>1556</v>
      </c>
      <c r="L1416">
        <v>1696647</v>
      </c>
      <c r="M1416">
        <v>1432148</v>
      </c>
      <c r="N1416">
        <v>264499</v>
      </c>
      <c r="O1416">
        <v>58</v>
      </c>
      <c r="P1416" t="str">
        <f t="shared" si="45"/>
        <v>senior</v>
      </c>
      <c r="Q1416" t="s">
        <v>1558</v>
      </c>
      <c r="R1416" t="s">
        <v>1562</v>
      </c>
      <c r="S1416" t="s">
        <v>1568</v>
      </c>
      <c r="T1416">
        <v>71313</v>
      </c>
      <c r="U1416">
        <v>3</v>
      </c>
      <c r="V1416" t="s">
        <v>1583</v>
      </c>
      <c r="W1416" t="s">
        <v>1593</v>
      </c>
      <c r="X1416">
        <v>15.59</v>
      </c>
    </row>
    <row r="1417" spans="1:24" x14ac:dyDescent="0.25">
      <c r="A1417" t="s">
        <v>1437</v>
      </c>
      <c r="B1417" s="4">
        <v>46076</v>
      </c>
      <c r="C1417" s="4" t="str">
        <f t="shared" si="44"/>
        <v>Feb</v>
      </c>
      <c r="D1417" t="s">
        <v>1522</v>
      </c>
      <c r="E1417" t="s">
        <v>1524</v>
      </c>
      <c r="F1417" t="s">
        <v>1536</v>
      </c>
      <c r="G1417" t="s">
        <v>1548</v>
      </c>
      <c r="H1417" t="s">
        <v>4</v>
      </c>
      <c r="I1417">
        <v>2024</v>
      </c>
      <c r="J1417" t="s">
        <v>1554</v>
      </c>
      <c r="K1417" t="s">
        <v>1557</v>
      </c>
      <c r="L1417">
        <v>1814600</v>
      </c>
      <c r="M1417">
        <v>1713674</v>
      </c>
      <c r="N1417">
        <v>100926</v>
      </c>
      <c r="O1417">
        <v>64</v>
      </c>
      <c r="P1417" t="str">
        <f t="shared" si="45"/>
        <v>senior</v>
      </c>
      <c r="Q1417" t="s">
        <v>1559</v>
      </c>
      <c r="R1417" t="s">
        <v>1566</v>
      </c>
      <c r="S1417" t="s">
        <v>1570</v>
      </c>
      <c r="T1417">
        <v>1890118</v>
      </c>
      <c r="U1417">
        <v>1</v>
      </c>
      <c r="V1417" t="s">
        <v>1589</v>
      </c>
      <c r="W1417" t="s">
        <v>1591</v>
      </c>
      <c r="X1417">
        <v>5.56</v>
      </c>
    </row>
    <row r="1418" spans="1:24" x14ac:dyDescent="0.25">
      <c r="A1418" t="s">
        <v>1438</v>
      </c>
      <c r="B1418" s="4">
        <v>45913</v>
      </c>
      <c r="C1418" s="4" t="str">
        <f t="shared" si="44"/>
        <v>Sep</v>
      </c>
      <c r="D1418" t="s">
        <v>1522</v>
      </c>
      <c r="E1418" t="s">
        <v>1526</v>
      </c>
      <c r="F1418" t="s">
        <v>1535</v>
      </c>
      <c r="G1418" t="s">
        <v>1548</v>
      </c>
      <c r="H1418" t="s">
        <v>1551</v>
      </c>
      <c r="I1418">
        <v>2026</v>
      </c>
      <c r="J1418" t="s">
        <v>1554</v>
      </c>
      <c r="K1418" t="s">
        <v>1556</v>
      </c>
      <c r="L1418">
        <v>778179</v>
      </c>
      <c r="M1418">
        <v>669965</v>
      </c>
      <c r="N1418">
        <v>108214</v>
      </c>
      <c r="O1418">
        <v>41</v>
      </c>
      <c r="P1418" t="str">
        <f t="shared" si="45"/>
        <v>adult</v>
      </c>
      <c r="Q1418" t="s">
        <v>1559</v>
      </c>
      <c r="R1418" t="s">
        <v>1563</v>
      </c>
      <c r="S1418" t="s">
        <v>1570</v>
      </c>
      <c r="T1418">
        <v>217107</v>
      </c>
      <c r="U1418">
        <v>2</v>
      </c>
      <c r="V1418" t="s">
        <v>1577</v>
      </c>
      <c r="W1418" t="s">
        <v>1594</v>
      </c>
      <c r="X1418">
        <v>13.91</v>
      </c>
    </row>
    <row r="1419" spans="1:24" x14ac:dyDescent="0.25">
      <c r="A1419" t="s">
        <v>1439</v>
      </c>
      <c r="B1419" s="4">
        <v>45658</v>
      </c>
      <c r="C1419" s="4" t="str">
        <f t="shared" si="44"/>
        <v>Jan</v>
      </c>
      <c r="D1419" t="s">
        <v>1522</v>
      </c>
      <c r="E1419" t="s">
        <v>1526</v>
      </c>
      <c r="F1419" t="s">
        <v>1532</v>
      </c>
      <c r="G1419" t="s">
        <v>1546</v>
      </c>
      <c r="H1419" t="s">
        <v>4</v>
      </c>
      <c r="I1419">
        <v>2026</v>
      </c>
      <c r="J1419" t="s">
        <v>1554</v>
      </c>
      <c r="K1419" t="s">
        <v>1556</v>
      </c>
      <c r="L1419">
        <v>1767793</v>
      </c>
      <c r="M1419">
        <v>1598997</v>
      </c>
      <c r="N1419">
        <v>168796</v>
      </c>
      <c r="O1419">
        <v>42</v>
      </c>
      <c r="P1419" t="str">
        <f t="shared" si="45"/>
        <v>adult</v>
      </c>
      <c r="Q1419" t="s">
        <v>1559</v>
      </c>
      <c r="R1419" t="s">
        <v>1562</v>
      </c>
      <c r="S1419" t="s">
        <v>1567</v>
      </c>
      <c r="T1419">
        <v>798698</v>
      </c>
      <c r="U1419">
        <v>3</v>
      </c>
      <c r="V1419" t="s">
        <v>1571</v>
      </c>
      <c r="W1419" t="s">
        <v>1591</v>
      </c>
      <c r="X1419">
        <v>9.5500000000000007</v>
      </c>
    </row>
    <row r="1420" spans="1:24" x14ac:dyDescent="0.25">
      <c r="A1420" t="s">
        <v>1440</v>
      </c>
      <c r="B1420" s="4">
        <v>45795</v>
      </c>
      <c r="C1420" s="4" t="str">
        <f t="shared" si="44"/>
        <v>May</v>
      </c>
      <c r="D1420" t="s">
        <v>1522</v>
      </c>
      <c r="E1420" t="s">
        <v>1523</v>
      </c>
      <c r="F1420" t="s">
        <v>1529</v>
      </c>
      <c r="G1420" t="s">
        <v>1548</v>
      </c>
      <c r="H1420" t="s">
        <v>1550</v>
      </c>
      <c r="I1420">
        <v>2024</v>
      </c>
      <c r="J1420" t="s">
        <v>1554</v>
      </c>
      <c r="K1420" t="s">
        <v>1557</v>
      </c>
      <c r="L1420">
        <v>1503637</v>
      </c>
      <c r="M1420">
        <v>1304152</v>
      </c>
      <c r="N1420">
        <v>199485</v>
      </c>
      <c r="O1420">
        <v>54</v>
      </c>
      <c r="P1420" t="str">
        <f t="shared" si="45"/>
        <v>senior</v>
      </c>
      <c r="Q1420" t="s">
        <v>1558</v>
      </c>
      <c r="R1420" t="s">
        <v>1564</v>
      </c>
      <c r="S1420" t="s">
        <v>1568</v>
      </c>
      <c r="T1420">
        <v>838268</v>
      </c>
      <c r="U1420">
        <v>4</v>
      </c>
      <c r="V1420" t="s">
        <v>1572</v>
      </c>
      <c r="W1420" t="s">
        <v>1592</v>
      </c>
      <c r="X1420">
        <v>13.27</v>
      </c>
    </row>
    <row r="1421" spans="1:24" x14ac:dyDescent="0.25">
      <c r="A1421" t="s">
        <v>1441</v>
      </c>
      <c r="B1421" s="4">
        <v>45837</v>
      </c>
      <c r="C1421" s="4" t="str">
        <f t="shared" si="44"/>
        <v>Jun</v>
      </c>
      <c r="D1421" t="s">
        <v>1522</v>
      </c>
      <c r="E1421" t="s">
        <v>1524</v>
      </c>
      <c r="F1421" t="s">
        <v>1536</v>
      </c>
      <c r="G1421" t="s">
        <v>1544</v>
      </c>
      <c r="H1421" t="s">
        <v>4</v>
      </c>
      <c r="I1421">
        <v>2025</v>
      </c>
      <c r="J1421" t="s">
        <v>1554</v>
      </c>
      <c r="K1421" t="s">
        <v>1556</v>
      </c>
      <c r="L1421">
        <v>1710043</v>
      </c>
      <c r="M1421">
        <v>1608278</v>
      </c>
      <c r="N1421">
        <v>101765</v>
      </c>
      <c r="O1421">
        <v>21</v>
      </c>
      <c r="P1421" t="str">
        <f t="shared" si="45"/>
        <v>young</v>
      </c>
      <c r="Q1421" t="s">
        <v>1559</v>
      </c>
      <c r="R1421" t="s">
        <v>1562</v>
      </c>
      <c r="S1421" t="s">
        <v>1569</v>
      </c>
      <c r="T1421">
        <v>999837</v>
      </c>
      <c r="U1421">
        <v>1</v>
      </c>
      <c r="V1421" t="s">
        <v>1584</v>
      </c>
      <c r="W1421" t="s">
        <v>1592</v>
      </c>
      <c r="X1421">
        <v>5.95</v>
      </c>
    </row>
    <row r="1422" spans="1:24" x14ac:dyDescent="0.25">
      <c r="A1422" t="s">
        <v>1442</v>
      </c>
      <c r="B1422" s="4">
        <v>46066</v>
      </c>
      <c r="C1422" s="4" t="str">
        <f t="shared" si="44"/>
        <v>Feb</v>
      </c>
      <c r="D1422" t="s">
        <v>1522</v>
      </c>
      <c r="E1422" t="s">
        <v>1524</v>
      </c>
      <c r="F1422" t="s">
        <v>1537</v>
      </c>
      <c r="G1422" t="s">
        <v>1546</v>
      </c>
      <c r="H1422" t="s">
        <v>4</v>
      </c>
      <c r="I1422">
        <v>2024</v>
      </c>
      <c r="J1422" t="s">
        <v>1554</v>
      </c>
      <c r="K1422" t="s">
        <v>1556</v>
      </c>
      <c r="L1422">
        <v>1625601</v>
      </c>
      <c r="M1422">
        <v>1333959</v>
      </c>
      <c r="N1422">
        <v>291642</v>
      </c>
      <c r="O1422">
        <v>45</v>
      </c>
      <c r="P1422" t="str">
        <f t="shared" si="45"/>
        <v>adult</v>
      </c>
      <c r="Q1422" t="s">
        <v>1558</v>
      </c>
      <c r="R1422" t="s">
        <v>1562</v>
      </c>
      <c r="S1422" t="s">
        <v>1569</v>
      </c>
      <c r="T1422">
        <v>813905</v>
      </c>
      <c r="U1422">
        <v>5</v>
      </c>
      <c r="V1422" t="s">
        <v>1589</v>
      </c>
      <c r="W1422" t="s">
        <v>1591</v>
      </c>
      <c r="X1422">
        <v>17.940000000000001</v>
      </c>
    </row>
    <row r="1423" spans="1:24" x14ac:dyDescent="0.25">
      <c r="A1423" t="s">
        <v>1443</v>
      </c>
      <c r="B1423" s="4">
        <v>45934</v>
      </c>
      <c r="C1423" s="4" t="str">
        <f t="shared" si="44"/>
        <v>Oct</v>
      </c>
      <c r="D1423" t="s">
        <v>1522</v>
      </c>
      <c r="E1423" t="s">
        <v>1526</v>
      </c>
      <c r="F1423" t="s">
        <v>1529</v>
      </c>
      <c r="G1423" t="s">
        <v>1548</v>
      </c>
      <c r="H1423" t="s">
        <v>1551</v>
      </c>
      <c r="I1423">
        <v>2023</v>
      </c>
      <c r="J1423" t="s">
        <v>1554</v>
      </c>
      <c r="K1423" t="s">
        <v>1556</v>
      </c>
      <c r="L1423">
        <v>1106052</v>
      </c>
      <c r="M1423">
        <v>962319</v>
      </c>
      <c r="N1423">
        <v>143733</v>
      </c>
      <c r="O1423">
        <v>38</v>
      </c>
      <c r="P1423" t="str">
        <f t="shared" si="45"/>
        <v>adult</v>
      </c>
      <c r="Q1423" t="s">
        <v>1558</v>
      </c>
      <c r="R1423" t="s">
        <v>1566</v>
      </c>
      <c r="S1423" t="s">
        <v>1567</v>
      </c>
      <c r="T1423">
        <v>818601</v>
      </c>
      <c r="U1423">
        <v>1</v>
      </c>
      <c r="V1423" t="s">
        <v>1574</v>
      </c>
      <c r="W1423" t="s">
        <v>1593</v>
      </c>
      <c r="X1423">
        <v>13</v>
      </c>
    </row>
    <row r="1424" spans="1:24" x14ac:dyDescent="0.25">
      <c r="A1424" t="s">
        <v>1444</v>
      </c>
      <c r="B1424" s="4">
        <v>45974</v>
      </c>
      <c r="C1424" s="4" t="str">
        <f t="shared" si="44"/>
        <v>Nov</v>
      </c>
      <c r="D1424" t="s">
        <v>1522</v>
      </c>
      <c r="E1424" t="s">
        <v>1527</v>
      </c>
      <c r="F1424" t="s">
        <v>1534</v>
      </c>
      <c r="G1424" t="s">
        <v>1539</v>
      </c>
      <c r="H1424" t="s">
        <v>1550</v>
      </c>
      <c r="I1424">
        <v>2025</v>
      </c>
      <c r="J1424" t="s">
        <v>1554</v>
      </c>
      <c r="K1424" t="s">
        <v>1556</v>
      </c>
      <c r="L1424">
        <v>1465270</v>
      </c>
      <c r="M1424">
        <v>1225032</v>
      </c>
      <c r="N1424">
        <v>240238</v>
      </c>
      <c r="O1424">
        <v>64</v>
      </c>
      <c r="P1424" t="str">
        <f t="shared" si="45"/>
        <v>senior</v>
      </c>
      <c r="Q1424" t="s">
        <v>1559</v>
      </c>
      <c r="R1424" t="s">
        <v>1566</v>
      </c>
      <c r="S1424" t="s">
        <v>1567</v>
      </c>
      <c r="T1424">
        <v>81164</v>
      </c>
      <c r="U1424">
        <v>5</v>
      </c>
      <c r="V1424" t="s">
        <v>1583</v>
      </c>
      <c r="W1424" t="s">
        <v>1593</v>
      </c>
      <c r="X1424">
        <v>16.399999999999999</v>
      </c>
    </row>
    <row r="1425" spans="1:24" x14ac:dyDescent="0.25">
      <c r="A1425" t="s">
        <v>1445</v>
      </c>
      <c r="B1425" s="4">
        <v>45768</v>
      </c>
      <c r="C1425" s="4" t="str">
        <f t="shared" si="44"/>
        <v>Apr</v>
      </c>
      <c r="D1425" t="s">
        <v>1522</v>
      </c>
      <c r="E1425" t="s">
        <v>1526</v>
      </c>
      <c r="F1425" t="s">
        <v>1537</v>
      </c>
      <c r="G1425" t="s">
        <v>1547</v>
      </c>
      <c r="H1425" t="s">
        <v>1550</v>
      </c>
      <c r="I1425">
        <v>2025</v>
      </c>
      <c r="J1425" t="s">
        <v>1554</v>
      </c>
      <c r="K1425" t="s">
        <v>1557</v>
      </c>
      <c r="L1425">
        <v>1462689</v>
      </c>
      <c r="M1425">
        <v>1353002</v>
      </c>
      <c r="N1425">
        <v>109687</v>
      </c>
      <c r="O1425">
        <v>30</v>
      </c>
      <c r="P1425" t="str">
        <f t="shared" si="45"/>
        <v>young</v>
      </c>
      <c r="Q1425" t="s">
        <v>1558</v>
      </c>
      <c r="R1425" t="s">
        <v>1561</v>
      </c>
      <c r="S1425" t="s">
        <v>1567</v>
      </c>
      <c r="T1425">
        <v>85187</v>
      </c>
      <c r="U1425">
        <v>3</v>
      </c>
      <c r="V1425" t="s">
        <v>1573</v>
      </c>
      <c r="W1425" t="s">
        <v>1592</v>
      </c>
      <c r="X1425">
        <v>7.5</v>
      </c>
    </row>
    <row r="1426" spans="1:24" x14ac:dyDescent="0.25">
      <c r="A1426" t="s">
        <v>1446</v>
      </c>
      <c r="B1426" s="4">
        <v>45666</v>
      </c>
      <c r="C1426" s="4" t="str">
        <f t="shared" si="44"/>
        <v>Jan</v>
      </c>
      <c r="D1426" t="s">
        <v>1522</v>
      </c>
      <c r="E1426" t="s">
        <v>1524</v>
      </c>
      <c r="F1426" t="s">
        <v>1531</v>
      </c>
      <c r="G1426" t="s">
        <v>1549</v>
      </c>
      <c r="H1426" t="s">
        <v>1551</v>
      </c>
      <c r="I1426">
        <v>2023</v>
      </c>
      <c r="J1426" t="s">
        <v>1554</v>
      </c>
      <c r="K1426" t="s">
        <v>1557</v>
      </c>
      <c r="L1426">
        <v>974498</v>
      </c>
      <c r="M1426">
        <v>851788</v>
      </c>
      <c r="N1426">
        <v>122710</v>
      </c>
      <c r="O1426">
        <v>45</v>
      </c>
      <c r="P1426" t="str">
        <f t="shared" si="45"/>
        <v>adult</v>
      </c>
      <c r="Q1426" t="s">
        <v>1559</v>
      </c>
      <c r="R1426" t="s">
        <v>1561</v>
      </c>
      <c r="S1426" t="s">
        <v>1570</v>
      </c>
      <c r="T1426">
        <v>934781</v>
      </c>
      <c r="U1426">
        <v>4</v>
      </c>
      <c r="V1426" t="s">
        <v>1571</v>
      </c>
      <c r="W1426" t="s">
        <v>1591</v>
      </c>
      <c r="X1426">
        <v>12.59</v>
      </c>
    </row>
    <row r="1427" spans="1:24" x14ac:dyDescent="0.25">
      <c r="A1427" t="s">
        <v>1447</v>
      </c>
      <c r="B1427" s="4">
        <v>46138</v>
      </c>
      <c r="C1427" s="4" t="str">
        <f t="shared" si="44"/>
        <v>Apr</v>
      </c>
      <c r="D1427" t="s">
        <v>1522</v>
      </c>
      <c r="E1427" t="s">
        <v>1524</v>
      </c>
      <c r="F1427" t="s">
        <v>1530</v>
      </c>
      <c r="G1427" t="s">
        <v>1540</v>
      </c>
      <c r="H1427" t="s">
        <v>1552</v>
      </c>
      <c r="I1427">
        <v>2025</v>
      </c>
      <c r="J1427" t="s">
        <v>1555</v>
      </c>
      <c r="K1427" t="s">
        <v>1556</v>
      </c>
      <c r="L1427">
        <v>1859759</v>
      </c>
      <c r="M1427">
        <v>1725358</v>
      </c>
      <c r="N1427">
        <v>134401</v>
      </c>
      <c r="O1427">
        <v>33</v>
      </c>
      <c r="P1427" t="str">
        <f t="shared" si="45"/>
        <v>adult</v>
      </c>
      <c r="Q1427" t="s">
        <v>1558</v>
      </c>
      <c r="R1427" t="s">
        <v>1562</v>
      </c>
      <c r="S1427" t="s">
        <v>1570</v>
      </c>
      <c r="T1427">
        <v>446918</v>
      </c>
      <c r="U1427">
        <v>3</v>
      </c>
      <c r="V1427" t="s">
        <v>1580</v>
      </c>
      <c r="W1427" t="s">
        <v>1592</v>
      </c>
      <c r="X1427">
        <v>7.23</v>
      </c>
    </row>
    <row r="1428" spans="1:24" x14ac:dyDescent="0.25">
      <c r="A1428" t="s">
        <v>1448</v>
      </c>
      <c r="B1428" s="4">
        <v>46037</v>
      </c>
      <c r="C1428" s="4" t="str">
        <f t="shared" si="44"/>
        <v>Jan</v>
      </c>
      <c r="D1428" t="s">
        <v>1522</v>
      </c>
      <c r="E1428" t="s">
        <v>1525</v>
      </c>
      <c r="F1428" t="s">
        <v>1537</v>
      </c>
      <c r="G1428" t="s">
        <v>1543</v>
      </c>
      <c r="H1428" t="s">
        <v>1550</v>
      </c>
      <c r="I1428">
        <v>2026</v>
      </c>
      <c r="J1428" t="s">
        <v>1554</v>
      </c>
      <c r="K1428" t="s">
        <v>1557</v>
      </c>
      <c r="L1428">
        <v>1444140</v>
      </c>
      <c r="M1428">
        <v>1318105</v>
      </c>
      <c r="N1428">
        <v>126035</v>
      </c>
      <c r="O1428">
        <v>31</v>
      </c>
      <c r="P1428" t="str">
        <f t="shared" si="45"/>
        <v>adult</v>
      </c>
      <c r="Q1428" t="s">
        <v>1559</v>
      </c>
      <c r="R1428" t="s">
        <v>1565</v>
      </c>
      <c r="S1428" t="s">
        <v>1568</v>
      </c>
      <c r="T1428">
        <v>1538607</v>
      </c>
      <c r="U1428">
        <v>2</v>
      </c>
      <c r="V1428" t="s">
        <v>1581</v>
      </c>
      <c r="W1428" t="s">
        <v>1591</v>
      </c>
      <c r="X1428">
        <v>8.73</v>
      </c>
    </row>
    <row r="1429" spans="1:24" x14ac:dyDescent="0.25">
      <c r="A1429" t="s">
        <v>1449</v>
      </c>
      <c r="B1429" s="4">
        <v>46003</v>
      </c>
      <c r="C1429" s="4" t="str">
        <f t="shared" si="44"/>
        <v>Dec</v>
      </c>
      <c r="D1429" t="s">
        <v>1522</v>
      </c>
      <c r="E1429" t="s">
        <v>1525</v>
      </c>
      <c r="F1429" t="s">
        <v>1531</v>
      </c>
      <c r="G1429" t="s">
        <v>1541</v>
      </c>
      <c r="H1429" t="s">
        <v>1552</v>
      </c>
      <c r="I1429">
        <v>2024</v>
      </c>
      <c r="J1429" t="s">
        <v>1555</v>
      </c>
      <c r="K1429" t="s">
        <v>1556</v>
      </c>
      <c r="L1429">
        <v>1949244</v>
      </c>
      <c r="M1429">
        <v>1813698</v>
      </c>
      <c r="N1429">
        <v>135546</v>
      </c>
      <c r="O1429">
        <v>50</v>
      </c>
      <c r="P1429" t="str">
        <f t="shared" si="45"/>
        <v>adult</v>
      </c>
      <c r="Q1429" t="s">
        <v>1559</v>
      </c>
      <c r="R1429" t="s">
        <v>1565</v>
      </c>
      <c r="S1429" t="s">
        <v>1568</v>
      </c>
      <c r="T1429">
        <v>1143435</v>
      </c>
      <c r="U1429">
        <v>4</v>
      </c>
      <c r="V1429" t="s">
        <v>1575</v>
      </c>
      <c r="W1429" t="s">
        <v>1593</v>
      </c>
      <c r="X1429">
        <v>6.95</v>
      </c>
    </row>
    <row r="1430" spans="1:24" x14ac:dyDescent="0.25">
      <c r="A1430" t="s">
        <v>1450</v>
      </c>
      <c r="B1430" s="4">
        <v>45896</v>
      </c>
      <c r="C1430" s="4" t="str">
        <f t="shared" si="44"/>
        <v>Aug</v>
      </c>
      <c r="D1430" t="s">
        <v>1522</v>
      </c>
      <c r="E1430" t="s">
        <v>1525</v>
      </c>
      <c r="F1430" t="s">
        <v>1529</v>
      </c>
      <c r="G1430" t="s">
        <v>1544</v>
      </c>
      <c r="H1430" t="s">
        <v>1550</v>
      </c>
      <c r="I1430">
        <v>2024</v>
      </c>
      <c r="J1430" t="s">
        <v>1554</v>
      </c>
      <c r="K1430" t="s">
        <v>1557</v>
      </c>
      <c r="L1430">
        <v>1179033</v>
      </c>
      <c r="M1430">
        <v>989154</v>
      </c>
      <c r="N1430">
        <v>189879</v>
      </c>
      <c r="O1430">
        <v>57</v>
      </c>
      <c r="P1430" t="str">
        <f t="shared" si="45"/>
        <v>senior</v>
      </c>
      <c r="Q1430" t="s">
        <v>1559</v>
      </c>
      <c r="R1430" t="s">
        <v>1565</v>
      </c>
      <c r="S1430" t="s">
        <v>1567</v>
      </c>
      <c r="T1430">
        <v>229391</v>
      </c>
      <c r="U1430">
        <v>3</v>
      </c>
      <c r="V1430" t="s">
        <v>1585</v>
      </c>
      <c r="W1430" t="s">
        <v>1594</v>
      </c>
      <c r="X1430">
        <v>16.100000000000001</v>
      </c>
    </row>
    <row r="1431" spans="1:24" x14ac:dyDescent="0.25">
      <c r="A1431" t="s">
        <v>1451</v>
      </c>
      <c r="B1431" s="4">
        <v>46008</v>
      </c>
      <c r="C1431" s="4" t="str">
        <f t="shared" si="44"/>
        <v>Dec</v>
      </c>
      <c r="D1431" t="s">
        <v>1522</v>
      </c>
      <c r="E1431" t="s">
        <v>1524</v>
      </c>
      <c r="F1431" t="s">
        <v>1531</v>
      </c>
      <c r="G1431" t="s">
        <v>1549</v>
      </c>
      <c r="H1431" t="s">
        <v>1550</v>
      </c>
      <c r="I1431">
        <v>2023</v>
      </c>
      <c r="J1431" t="s">
        <v>1554</v>
      </c>
      <c r="K1431" t="s">
        <v>1556</v>
      </c>
      <c r="L1431">
        <v>1393883</v>
      </c>
      <c r="M1431">
        <v>1239195</v>
      </c>
      <c r="N1431">
        <v>154688</v>
      </c>
      <c r="O1431">
        <v>47</v>
      </c>
      <c r="P1431" t="str">
        <f t="shared" si="45"/>
        <v>adult</v>
      </c>
      <c r="Q1431" t="s">
        <v>1559</v>
      </c>
      <c r="R1431" t="s">
        <v>1565</v>
      </c>
      <c r="S1431" t="s">
        <v>1567</v>
      </c>
      <c r="T1431">
        <v>2004408</v>
      </c>
      <c r="U1431">
        <v>4</v>
      </c>
      <c r="V1431" t="s">
        <v>1575</v>
      </c>
      <c r="W1431" t="s">
        <v>1593</v>
      </c>
      <c r="X1431">
        <v>11.1</v>
      </c>
    </row>
    <row r="1432" spans="1:24" x14ac:dyDescent="0.25">
      <c r="A1432" t="s">
        <v>1452</v>
      </c>
      <c r="B1432" s="4">
        <v>46073</v>
      </c>
      <c r="C1432" s="4" t="str">
        <f t="shared" si="44"/>
        <v>Feb</v>
      </c>
      <c r="D1432" t="s">
        <v>1522</v>
      </c>
      <c r="E1432" t="s">
        <v>1524</v>
      </c>
      <c r="F1432" t="s">
        <v>1531</v>
      </c>
      <c r="G1432" t="s">
        <v>1538</v>
      </c>
      <c r="H1432" t="s">
        <v>4</v>
      </c>
      <c r="I1432">
        <v>2025</v>
      </c>
      <c r="J1432" t="s">
        <v>1554</v>
      </c>
      <c r="K1432" t="s">
        <v>1557</v>
      </c>
      <c r="L1432">
        <v>1564103</v>
      </c>
      <c r="M1432">
        <v>1342865</v>
      </c>
      <c r="N1432">
        <v>221238</v>
      </c>
      <c r="O1432">
        <v>34</v>
      </c>
      <c r="P1432" t="str">
        <f t="shared" si="45"/>
        <v>adult</v>
      </c>
      <c r="Q1432" t="s">
        <v>1559</v>
      </c>
      <c r="R1432" t="s">
        <v>1565</v>
      </c>
      <c r="S1432" t="s">
        <v>1567</v>
      </c>
      <c r="T1432">
        <v>2083785</v>
      </c>
      <c r="U1432">
        <v>4</v>
      </c>
      <c r="V1432" t="s">
        <v>1589</v>
      </c>
      <c r="W1432" t="s">
        <v>1591</v>
      </c>
      <c r="X1432">
        <v>14.14</v>
      </c>
    </row>
    <row r="1433" spans="1:24" x14ac:dyDescent="0.25">
      <c r="A1433" t="s">
        <v>1453</v>
      </c>
      <c r="B1433" s="4">
        <v>46033</v>
      </c>
      <c r="C1433" s="4" t="str">
        <f t="shared" si="44"/>
        <v>Jan</v>
      </c>
      <c r="D1433" t="s">
        <v>1522</v>
      </c>
      <c r="E1433" t="s">
        <v>1526</v>
      </c>
      <c r="F1433" t="s">
        <v>1528</v>
      </c>
      <c r="G1433" t="s">
        <v>1540</v>
      </c>
      <c r="H1433" t="s">
        <v>1550</v>
      </c>
      <c r="I1433">
        <v>2023</v>
      </c>
      <c r="J1433" t="s">
        <v>1554</v>
      </c>
      <c r="K1433" t="s">
        <v>1556</v>
      </c>
      <c r="L1433">
        <v>1601475</v>
      </c>
      <c r="M1433">
        <v>1378339</v>
      </c>
      <c r="N1433">
        <v>223136</v>
      </c>
      <c r="O1433">
        <v>39</v>
      </c>
      <c r="P1433" t="str">
        <f t="shared" si="45"/>
        <v>adult</v>
      </c>
      <c r="Q1433" t="s">
        <v>1558</v>
      </c>
      <c r="R1433" t="s">
        <v>1564</v>
      </c>
      <c r="S1433" t="s">
        <v>1568</v>
      </c>
      <c r="T1433">
        <v>492469</v>
      </c>
      <c r="U1433">
        <v>4</v>
      </c>
      <c r="V1433" t="s">
        <v>1581</v>
      </c>
      <c r="W1433" t="s">
        <v>1591</v>
      </c>
      <c r="X1433">
        <v>13.93</v>
      </c>
    </row>
    <row r="1434" spans="1:24" x14ac:dyDescent="0.25">
      <c r="A1434" t="s">
        <v>1454</v>
      </c>
      <c r="B1434" s="4">
        <v>46112</v>
      </c>
      <c r="C1434" s="4" t="str">
        <f t="shared" si="44"/>
        <v>Mar</v>
      </c>
      <c r="D1434" t="s">
        <v>1522</v>
      </c>
      <c r="E1434" t="s">
        <v>1526</v>
      </c>
      <c r="F1434" t="s">
        <v>1534</v>
      </c>
      <c r="G1434" t="s">
        <v>1549</v>
      </c>
      <c r="H1434" t="s">
        <v>1550</v>
      </c>
      <c r="I1434">
        <v>2026</v>
      </c>
      <c r="J1434" t="s">
        <v>1554</v>
      </c>
      <c r="K1434" t="s">
        <v>1557</v>
      </c>
      <c r="L1434">
        <v>1540628</v>
      </c>
      <c r="M1434">
        <v>1347520</v>
      </c>
      <c r="N1434">
        <v>193108</v>
      </c>
      <c r="O1434">
        <v>37</v>
      </c>
      <c r="P1434" t="str">
        <f t="shared" si="45"/>
        <v>adult</v>
      </c>
      <c r="Q1434" t="s">
        <v>1558</v>
      </c>
      <c r="R1434" t="s">
        <v>1561</v>
      </c>
      <c r="S1434" t="s">
        <v>1569</v>
      </c>
      <c r="T1434">
        <v>1047815</v>
      </c>
      <c r="U1434">
        <v>4</v>
      </c>
      <c r="V1434" t="s">
        <v>1586</v>
      </c>
      <c r="W1434" t="s">
        <v>1591</v>
      </c>
      <c r="X1434">
        <v>12.53</v>
      </c>
    </row>
    <row r="1435" spans="1:24" x14ac:dyDescent="0.25">
      <c r="A1435" t="s">
        <v>1455</v>
      </c>
      <c r="B1435" s="4">
        <v>45959</v>
      </c>
      <c r="C1435" s="4" t="str">
        <f t="shared" si="44"/>
        <v>Oct</v>
      </c>
      <c r="D1435" t="s">
        <v>1522</v>
      </c>
      <c r="E1435" t="s">
        <v>1524</v>
      </c>
      <c r="F1435" t="s">
        <v>1528</v>
      </c>
      <c r="G1435" t="s">
        <v>1549</v>
      </c>
      <c r="H1435" t="s">
        <v>4</v>
      </c>
      <c r="I1435">
        <v>2024</v>
      </c>
      <c r="J1435" t="s">
        <v>1554</v>
      </c>
      <c r="K1435" t="s">
        <v>1557</v>
      </c>
      <c r="L1435">
        <v>1762796</v>
      </c>
      <c r="M1435">
        <v>1508712</v>
      </c>
      <c r="N1435">
        <v>254084</v>
      </c>
      <c r="O1435">
        <v>34</v>
      </c>
      <c r="P1435" t="str">
        <f t="shared" si="45"/>
        <v>adult</v>
      </c>
      <c r="Q1435" t="s">
        <v>1558</v>
      </c>
      <c r="R1435" t="s">
        <v>1565</v>
      </c>
      <c r="S1435" t="s">
        <v>1567</v>
      </c>
      <c r="T1435">
        <v>1116259</v>
      </c>
      <c r="U1435">
        <v>3</v>
      </c>
      <c r="V1435" t="s">
        <v>1574</v>
      </c>
      <c r="W1435" t="s">
        <v>1593</v>
      </c>
      <c r="X1435">
        <v>14.41</v>
      </c>
    </row>
    <row r="1436" spans="1:24" x14ac:dyDescent="0.25">
      <c r="A1436" t="s">
        <v>1456</v>
      </c>
      <c r="B1436" s="4">
        <v>45737</v>
      </c>
      <c r="C1436" s="4" t="str">
        <f t="shared" si="44"/>
        <v>Mar</v>
      </c>
      <c r="D1436" t="s">
        <v>1522</v>
      </c>
      <c r="E1436" t="s">
        <v>1526</v>
      </c>
      <c r="F1436" t="s">
        <v>1528</v>
      </c>
      <c r="G1436" t="s">
        <v>1547</v>
      </c>
      <c r="H1436" t="s">
        <v>4</v>
      </c>
      <c r="I1436">
        <v>2023</v>
      </c>
      <c r="J1436" t="s">
        <v>1553</v>
      </c>
      <c r="K1436" t="s">
        <v>1557</v>
      </c>
      <c r="L1436">
        <v>1768530</v>
      </c>
      <c r="M1436">
        <v>1505004</v>
      </c>
      <c r="N1436">
        <v>263526</v>
      </c>
      <c r="O1436">
        <v>48</v>
      </c>
      <c r="P1436" t="str">
        <f t="shared" si="45"/>
        <v>adult</v>
      </c>
      <c r="Q1436" t="s">
        <v>1558</v>
      </c>
      <c r="R1436" t="s">
        <v>1562</v>
      </c>
      <c r="S1436" t="s">
        <v>1569</v>
      </c>
      <c r="T1436">
        <v>458817</v>
      </c>
      <c r="U1436">
        <v>3</v>
      </c>
      <c r="V1436" t="s">
        <v>1588</v>
      </c>
      <c r="W1436" t="s">
        <v>1591</v>
      </c>
      <c r="X1436">
        <v>14.9</v>
      </c>
    </row>
    <row r="1437" spans="1:24" x14ac:dyDescent="0.25">
      <c r="A1437" t="s">
        <v>1457</v>
      </c>
      <c r="B1437" s="4">
        <v>46027</v>
      </c>
      <c r="C1437" s="4" t="str">
        <f t="shared" si="44"/>
        <v>Jan</v>
      </c>
      <c r="D1437" t="s">
        <v>1522</v>
      </c>
      <c r="E1437" t="s">
        <v>1525</v>
      </c>
      <c r="F1437" t="s">
        <v>1529</v>
      </c>
      <c r="G1437" t="s">
        <v>1541</v>
      </c>
      <c r="H1437" t="s">
        <v>4</v>
      </c>
      <c r="I1437">
        <v>2026</v>
      </c>
      <c r="J1437" t="s">
        <v>1554</v>
      </c>
      <c r="K1437" t="s">
        <v>1556</v>
      </c>
      <c r="L1437">
        <v>1536887</v>
      </c>
      <c r="M1437">
        <v>1337493</v>
      </c>
      <c r="N1437">
        <v>199394</v>
      </c>
      <c r="O1437">
        <v>45</v>
      </c>
      <c r="P1437" t="str">
        <f t="shared" si="45"/>
        <v>adult</v>
      </c>
      <c r="Q1437" t="s">
        <v>1559</v>
      </c>
      <c r="R1437" t="s">
        <v>1564</v>
      </c>
      <c r="S1437" t="s">
        <v>1569</v>
      </c>
      <c r="T1437">
        <v>1553792</v>
      </c>
      <c r="U1437">
        <v>2</v>
      </c>
      <c r="V1437" t="s">
        <v>1581</v>
      </c>
      <c r="W1437" t="s">
        <v>1591</v>
      </c>
      <c r="X1437">
        <v>12.97</v>
      </c>
    </row>
    <row r="1438" spans="1:24" x14ac:dyDescent="0.25">
      <c r="A1438" t="s">
        <v>1458</v>
      </c>
      <c r="B1438" s="4">
        <v>45843</v>
      </c>
      <c r="C1438" s="4" t="str">
        <f t="shared" si="44"/>
        <v>Jul</v>
      </c>
      <c r="D1438" t="s">
        <v>1522</v>
      </c>
      <c r="E1438" t="s">
        <v>1527</v>
      </c>
      <c r="F1438" t="s">
        <v>1529</v>
      </c>
      <c r="G1438" t="s">
        <v>1545</v>
      </c>
      <c r="H1438" t="s">
        <v>1551</v>
      </c>
      <c r="I1438">
        <v>2026</v>
      </c>
      <c r="J1438" t="s">
        <v>1554</v>
      </c>
      <c r="K1438" t="s">
        <v>1556</v>
      </c>
      <c r="L1438">
        <v>912334</v>
      </c>
      <c r="M1438">
        <v>878614</v>
      </c>
      <c r="N1438">
        <v>33720</v>
      </c>
      <c r="O1438">
        <v>35</v>
      </c>
      <c r="P1438" t="str">
        <f t="shared" si="45"/>
        <v>adult</v>
      </c>
      <c r="Q1438" t="s">
        <v>1559</v>
      </c>
      <c r="R1438" t="s">
        <v>1565</v>
      </c>
      <c r="S1438" t="s">
        <v>1567</v>
      </c>
      <c r="T1438">
        <v>900543</v>
      </c>
      <c r="U1438">
        <v>5</v>
      </c>
      <c r="V1438" t="s">
        <v>1579</v>
      </c>
      <c r="W1438" t="s">
        <v>1594</v>
      </c>
      <c r="X1438">
        <v>3.7</v>
      </c>
    </row>
    <row r="1439" spans="1:24" x14ac:dyDescent="0.25">
      <c r="A1439" t="s">
        <v>1459</v>
      </c>
      <c r="B1439" s="4">
        <v>46035</v>
      </c>
      <c r="C1439" s="4" t="str">
        <f t="shared" si="44"/>
        <v>Jan</v>
      </c>
      <c r="D1439" t="s">
        <v>1522</v>
      </c>
      <c r="E1439" t="s">
        <v>1525</v>
      </c>
      <c r="F1439" t="s">
        <v>1531</v>
      </c>
      <c r="G1439" t="s">
        <v>1540</v>
      </c>
      <c r="H1439" t="s">
        <v>4</v>
      </c>
      <c r="I1439">
        <v>2024</v>
      </c>
      <c r="J1439" t="s">
        <v>1554</v>
      </c>
      <c r="K1439" t="s">
        <v>1557</v>
      </c>
      <c r="L1439">
        <v>1363515</v>
      </c>
      <c r="M1439">
        <v>1137229</v>
      </c>
      <c r="N1439">
        <v>226286</v>
      </c>
      <c r="O1439">
        <v>62</v>
      </c>
      <c r="P1439" t="str">
        <f t="shared" si="45"/>
        <v>senior</v>
      </c>
      <c r="Q1439" t="s">
        <v>1558</v>
      </c>
      <c r="R1439" t="s">
        <v>1565</v>
      </c>
      <c r="S1439" t="s">
        <v>1567</v>
      </c>
      <c r="T1439">
        <v>541087</v>
      </c>
      <c r="U1439">
        <v>3</v>
      </c>
      <c r="V1439" t="s">
        <v>1581</v>
      </c>
      <c r="W1439" t="s">
        <v>1591</v>
      </c>
      <c r="X1439">
        <v>16.600000000000001</v>
      </c>
    </row>
    <row r="1440" spans="1:24" x14ac:dyDescent="0.25">
      <c r="A1440" t="s">
        <v>1460</v>
      </c>
      <c r="B1440" s="4">
        <v>45745</v>
      </c>
      <c r="C1440" s="4" t="str">
        <f t="shared" si="44"/>
        <v>Mar</v>
      </c>
      <c r="D1440" t="s">
        <v>1522</v>
      </c>
      <c r="E1440" t="s">
        <v>1523</v>
      </c>
      <c r="F1440" t="s">
        <v>1528</v>
      </c>
      <c r="G1440" t="s">
        <v>1548</v>
      </c>
      <c r="H1440" t="s">
        <v>1551</v>
      </c>
      <c r="I1440">
        <v>2023</v>
      </c>
      <c r="J1440" t="s">
        <v>1554</v>
      </c>
      <c r="K1440" t="s">
        <v>1557</v>
      </c>
      <c r="L1440">
        <v>972276</v>
      </c>
      <c r="M1440">
        <v>946184</v>
      </c>
      <c r="N1440">
        <v>26092</v>
      </c>
      <c r="O1440">
        <v>51</v>
      </c>
      <c r="P1440" t="str">
        <f t="shared" si="45"/>
        <v>senior</v>
      </c>
      <c r="Q1440" t="s">
        <v>1558</v>
      </c>
      <c r="R1440" t="s">
        <v>1562</v>
      </c>
      <c r="S1440" t="s">
        <v>1567</v>
      </c>
      <c r="T1440">
        <v>1429075</v>
      </c>
      <c r="U1440">
        <v>5</v>
      </c>
      <c r="V1440" t="s">
        <v>1588</v>
      </c>
      <c r="W1440" t="s">
        <v>1591</v>
      </c>
      <c r="X1440">
        <v>2.68</v>
      </c>
    </row>
    <row r="1441" spans="1:24" x14ac:dyDescent="0.25">
      <c r="A1441" t="s">
        <v>1461</v>
      </c>
      <c r="B1441" s="4">
        <v>45789</v>
      </c>
      <c r="C1441" s="4" t="str">
        <f t="shared" si="44"/>
        <v>May</v>
      </c>
      <c r="D1441" t="s">
        <v>1522</v>
      </c>
      <c r="E1441" t="s">
        <v>1525</v>
      </c>
      <c r="F1441" t="s">
        <v>1533</v>
      </c>
      <c r="G1441" t="s">
        <v>1547</v>
      </c>
      <c r="H1441" t="s">
        <v>4</v>
      </c>
      <c r="I1441">
        <v>2025</v>
      </c>
      <c r="J1441" t="s">
        <v>1554</v>
      </c>
      <c r="K1441" t="s">
        <v>1556</v>
      </c>
      <c r="L1441">
        <v>1246079</v>
      </c>
      <c r="M1441">
        <v>1163865</v>
      </c>
      <c r="N1441">
        <v>82214</v>
      </c>
      <c r="O1441">
        <v>25</v>
      </c>
      <c r="P1441" t="str">
        <f t="shared" si="45"/>
        <v>young</v>
      </c>
      <c r="Q1441" t="s">
        <v>1558</v>
      </c>
      <c r="R1441" t="s">
        <v>1566</v>
      </c>
      <c r="S1441" t="s">
        <v>1570</v>
      </c>
      <c r="T1441">
        <v>1469189</v>
      </c>
      <c r="U1441">
        <v>3</v>
      </c>
      <c r="V1441" t="s">
        <v>1572</v>
      </c>
      <c r="W1441" t="s">
        <v>1592</v>
      </c>
      <c r="X1441">
        <v>6.6</v>
      </c>
    </row>
    <row r="1442" spans="1:24" x14ac:dyDescent="0.25">
      <c r="A1442" t="s">
        <v>1462</v>
      </c>
      <c r="B1442" s="4">
        <v>46240</v>
      </c>
      <c r="C1442" s="4" t="str">
        <f t="shared" si="44"/>
        <v>Aug</v>
      </c>
      <c r="D1442" t="s">
        <v>1522</v>
      </c>
      <c r="E1442" t="s">
        <v>1527</v>
      </c>
      <c r="F1442" t="s">
        <v>1530</v>
      </c>
      <c r="G1442" t="s">
        <v>1542</v>
      </c>
      <c r="H1442" t="s">
        <v>4</v>
      </c>
      <c r="I1442">
        <v>2025</v>
      </c>
      <c r="J1442" t="s">
        <v>1554</v>
      </c>
      <c r="K1442" t="s">
        <v>1556</v>
      </c>
      <c r="L1442">
        <v>1704412</v>
      </c>
      <c r="M1442">
        <v>1541001</v>
      </c>
      <c r="N1442">
        <v>163411</v>
      </c>
      <c r="O1442">
        <v>21</v>
      </c>
      <c r="P1442" t="str">
        <f t="shared" si="45"/>
        <v>young</v>
      </c>
      <c r="Q1442" t="s">
        <v>1558</v>
      </c>
      <c r="R1442" t="s">
        <v>1563</v>
      </c>
      <c r="S1442" t="s">
        <v>1569</v>
      </c>
      <c r="T1442">
        <v>1038586</v>
      </c>
      <c r="U1442">
        <v>5</v>
      </c>
      <c r="V1442" t="s">
        <v>1576</v>
      </c>
      <c r="W1442" t="s">
        <v>1594</v>
      </c>
      <c r="X1442">
        <v>9.59</v>
      </c>
    </row>
    <row r="1443" spans="1:24" x14ac:dyDescent="0.25">
      <c r="A1443" t="s">
        <v>1463</v>
      </c>
      <c r="B1443" s="4">
        <v>45743</v>
      </c>
      <c r="C1443" s="4" t="str">
        <f t="shared" si="44"/>
        <v>Mar</v>
      </c>
      <c r="D1443" t="s">
        <v>1522</v>
      </c>
      <c r="E1443" t="s">
        <v>1525</v>
      </c>
      <c r="F1443" t="s">
        <v>1536</v>
      </c>
      <c r="G1443" t="s">
        <v>1540</v>
      </c>
      <c r="H1443" t="s">
        <v>4</v>
      </c>
      <c r="I1443">
        <v>2025</v>
      </c>
      <c r="J1443" t="s">
        <v>1554</v>
      </c>
      <c r="K1443" t="s">
        <v>1556</v>
      </c>
      <c r="L1443">
        <v>1164195</v>
      </c>
      <c r="M1443">
        <v>983449</v>
      </c>
      <c r="N1443">
        <v>180746</v>
      </c>
      <c r="O1443">
        <v>61</v>
      </c>
      <c r="P1443" t="str">
        <f t="shared" si="45"/>
        <v>senior</v>
      </c>
      <c r="Q1443" t="s">
        <v>1558</v>
      </c>
      <c r="R1443" t="s">
        <v>1566</v>
      </c>
      <c r="S1443" t="s">
        <v>1567</v>
      </c>
      <c r="T1443">
        <v>686620</v>
      </c>
      <c r="U1443">
        <v>3</v>
      </c>
      <c r="V1443" t="s">
        <v>1588</v>
      </c>
      <c r="W1443" t="s">
        <v>1591</v>
      </c>
      <c r="X1443">
        <v>15.53</v>
      </c>
    </row>
    <row r="1444" spans="1:24" x14ac:dyDescent="0.25">
      <c r="A1444" t="s">
        <v>1464</v>
      </c>
      <c r="B1444" s="4">
        <v>45994</v>
      </c>
      <c r="C1444" s="4" t="str">
        <f t="shared" si="44"/>
        <v>Dec</v>
      </c>
      <c r="D1444" t="s">
        <v>1522</v>
      </c>
      <c r="E1444" t="s">
        <v>1525</v>
      </c>
      <c r="F1444" t="s">
        <v>1530</v>
      </c>
      <c r="G1444" t="s">
        <v>1545</v>
      </c>
      <c r="H1444" t="s">
        <v>4</v>
      </c>
      <c r="I1444">
        <v>2025</v>
      </c>
      <c r="J1444" t="s">
        <v>1554</v>
      </c>
      <c r="K1444" t="s">
        <v>1556</v>
      </c>
      <c r="L1444">
        <v>1561396</v>
      </c>
      <c r="M1444">
        <v>1437380</v>
      </c>
      <c r="N1444">
        <v>124016</v>
      </c>
      <c r="O1444">
        <v>47</v>
      </c>
      <c r="P1444" t="str">
        <f t="shared" si="45"/>
        <v>adult</v>
      </c>
      <c r="Q1444" t="s">
        <v>1558</v>
      </c>
      <c r="R1444" t="s">
        <v>1565</v>
      </c>
      <c r="S1444" t="s">
        <v>1568</v>
      </c>
      <c r="T1444">
        <v>112114</v>
      </c>
      <c r="U1444">
        <v>4</v>
      </c>
      <c r="V1444" t="s">
        <v>1575</v>
      </c>
      <c r="W1444" t="s">
        <v>1593</v>
      </c>
      <c r="X1444">
        <v>7.94</v>
      </c>
    </row>
    <row r="1445" spans="1:24" x14ac:dyDescent="0.25">
      <c r="A1445" t="s">
        <v>1465</v>
      </c>
      <c r="B1445" s="4">
        <v>45922</v>
      </c>
      <c r="C1445" s="4" t="str">
        <f t="shared" si="44"/>
        <v>Sep</v>
      </c>
      <c r="D1445" t="s">
        <v>1522</v>
      </c>
      <c r="E1445" t="s">
        <v>1525</v>
      </c>
      <c r="F1445" t="s">
        <v>1536</v>
      </c>
      <c r="G1445" t="s">
        <v>1549</v>
      </c>
      <c r="H1445" t="s">
        <v>1552</v>
      </c>
      <c r="I1445">
        <v>2024</v>
      </c>
      <c r="J1445" t="s">
        <v>1555</v>
      </c>
      <c r="K1445" t="s">
        <v>1556</v>
      </c>
      <c r="L1445">
        <v>1991049</v>
      </c>
      <c r="M1445">
        <v>1746975</v>
      </c>
      <c r="N1445">
        <v>244074</v>
      </c>
      <c r="O1445">
        <v>33</v>
      </c>
      <c r="P1445" t="str">
        <f t="shared" si="45"/>
        <v>adult</v>
      </c>
      <c r="Q1445" t="s">
        <v>1558</v>
      </c>
      <c r="R1445" t="s">
        <v>1561</v>
      </c>
      <c r="S1445" t="s">
        <v>1568</v>
      </c>
      <c r="T1445">
        <v>1578619</v>
      </c>
      <c r="U1445">
        <v>2</v>
      </c>
      <c r="V1445" t="s">
        <v>1577</v>
      </c>
      <c r="W1445" t="s">
        <v>1594</v>
      </c>
      <c r="X1445">
        <v>12.26</v>
      </c>
    </row>
    <row r="1446" spans="1:24" x14ac:dyDescent="0.25">
      <c r="A1446" t="s">
        <v>1466</v>
      </c>
      <c r="B1446" s="4">
        <v>45841</v>
      </c>
      <c r="C1446" s="4" t="str">
        <f t="shared" si="44"/>
        <v>Jul</v>
      </c>
      <c r="D1446" t="s">
        <v>1522</v>
      </c>
      <c r="E1446" t="s">
        <v>1523</v>
      </c>
      <c r="F1446" t="s">
        <v>1537</v>
      </c>
      <c r="G1446" t="s">
        <v>1546</v>
      </c>
      <c r="H1446" t="s">
        <v>1550</v>
      </c>
      <c r="I1446">
        <v>2024</v>
      </c>
      <c r="J1446" t="s">
        <v>1554</v>
      </c>
      <c r="K1446" t="s">
        <v>1556</v>
      </c>
      <c r="L1446">
        <v>1726480</v>
      </c>
      <c r="M1446">
        <v>1573155</v>
      </c>
      <c r="N1446">
        <v>153325</v>
      </c>
      <c r="O1446">
        <v>36</v>
      </c>
      <c r="P1446" t="str">
        <f t="shared" si="45"/>
        <v>adult</v>
      </c>
      <c r="Q1446" t="s">
        <v>1560</v>
      </c>
      <c r="R1446" t="s">
        <v>1561</v>
      </c>
      <c r="S1446" t="s">
        <v>1568</v>
      </c>
      <c r="T1446">
        <v>733257</v>
      </c>
      <c r="U1446">
        <v>1</v>
      </c>
      <c r="V1446" t="s">
        <v>1579</v>
      </c>
      <c r="W1446" t="s">
        <v>1594</v>
      </c>
      <c r="X1446">
        <v>8.8800000000000008</v>
      </c>
    </row>
    <row r="1447" spans="1:24" x14ac:dyDescent="0.25">
      <c r="A1447" t="s">
        <v>1467</v>
      </c>
      <c r="B1447" s="4">
        <v>46211</v>
      </c>
      <c r="C1447" s="4" t="str">
        <f t="shared" si="44"/>
        <v>Jul</v>
      </c>
      <c r="D1447" t="s">
        <v>1522</v>
      </c>
      <c r="E1447" t="s">
        <v>1523</v>
      </c>
      <c r="F1447" t="s">
        <v>1530</v>
      </c>
      <c r="G1447" t="s">
        <v>1541</v>
      </c>
      <c r="H1447" t="s">
        <v>1550</v>
      </c>
      <c r="I1447">
        <v>2024</v>
      </c>
      <c r="J1447" t="s">
        <v>1554</v>
      </c>
      <c r="K1447" t="s">
        <v>1556</v>
      </c>
      <c r="L1447">
        <v>1309343</v>
      </c>
      <c r="M1447">
        <v>1152727</v>
      </c>
      <c r="N1447">
        <v>156616</v>
      </c>
      <c r="O1447">
        <v>59</v>
      </c>
      <c r="P1447" t="str">
        <f t="shared" si="45"/>
        <v>senior</v>
      </c>
      <c r="Q1447" t="s">
        <v>1558</v>
      </c>
      <c r="R1447" t="s">
        <v>1561</v>
      </c>
      <c r="S1447" t="s">
        <v>1567</v>
      </c>
      <c r="T1447">
        <v>272459</v>
      </c>
      <c r="U1447">
        <v>2</v>
      </c>
      <c r="V1447" t="s">
        <v>1587</v>
      </c>
      <c r="W1447" t="s">
        <v>1594</v>
      </c>
      <c r="X1447">
        <v>11.96</v>
      </c>
    </row>
    <row r="1448" spans="1:24" x14ac:dyDescent="0.25">
      <c r="A1448" t="s">
        <v>1468</v>
      </c>
      <c r="B1448" s="4">
        <v>46137</v>
      </c>
      <c r="C1448" s="4" t="str">
        <f t="shared" si="44"/>
        <v>Apr</v>
      </c>
      <c r="D1448" t="s">
        <v>1522</v>
      </c>
      <c r="E1448" t="s">
        <v>1527</v>
      </c>
      <c r="F1448" t="s">
        <v>1528</v>
      </c>
      <c r="G1448" t="s">
        <v>1540</v>
      </c>
      <c r="H1448" t="s">
        <v>1552</v>
      </c>
      <c r="I1448">
        <v>2023</v>
      </c>
      <c r="J1448" t="s">
        <v>1555</v>
      </c>
      <c r="K1448" t="s">
        <v>1556</v>
      </c>
      <c r="L1448">
        <v>2008275</v>
      </c>
      <c r="M1448">
        <v>1684066</v>
      </c>
      <c r="N1448">
        <v>324209</v>
      </c>
      <c r="O1448">
        <v>62</v>
      </c>
      <c r="P1448" t="str">
        <f t="shared" si="45"/>
        <v>senior</v>
      </c>
      <c r="Q1448" t="s">
        <v>1558</v>
      </c>
      <c r="R1448" t="s">
        <v>1561</v>
      </c>
      <c r="S1448" t="s">
        <v>1567</v>
      </c>
      <c r="T1448">
        <v>1628857</v>
      </c>
      <c r="U1448">
        <v>2</v>
      </c>
      <c r="V1448" t="s">
        <v>1580</v>
      </c>
      <c r="W1448" t="s">
        <v>1592</v>
      </c>
      <c r="X1448">
        <v>16.14</v>
      </c>
    </row>
    <row r="1449" spans="1:24" x14ac:dyDescent="0.25">
      <c r="A1449" t="s">
        <v>1469</v>
      </c>
      <c r="B1449" s="4">
        <v>46258</v>
      </c>
      <c r="C1449" s="4" t="str">
        <f t="shared" si="44"/>
        <v>Aug</v>
      </c>
      <c r="D1449" t="s">
        <v>1522</v>
      </c>
      <c r="E1449" t="s">
        <v>1525</v>
      </c>
      <c r="F1449" t="s">
        <v>1529</v>
      </c>
      <c r="G1449" t="s">
        <v>1548</v>
      </c>
      <c r="H1449" t="s">
        <v>1551</v>
      </c>
      <c r="I1449">
        <v>2024</v>
      </c>
      <c r="J1449" t="s">
        <v>1554</v>
      </c>
      <c r="K1449" t="s">
        <v>1556</v>
      </c>
      <c r="L1449">
        <v>716181</v>
      </c>
      <c r="M1449">
        <v>630904</v>
      </c>
      <c r="N1449">
        <v>85277</v>
      </c>
      <c r="O1449">
        <v>21</v>
      </c>
      <c r="P1449" t="str">
        <f t="shared" si="45"/>
        <v>young</v>
      </c>
      <c r="Q1449" t="s">
        <v>1558</v>
      </c>
      <c r="R1449" t="s">
        <v>1564</v>
      </c>
      <c r="S1449" t="s">
        <v>1568</v>
      </c>
      <c r="T1449">
        <v>1493592</v>
      </c>
      <c r="U1449">
        <v>3</v>
      </c>
      <c r="V1449" t="s">
        <v>1576</v>
      </c>
      <c r="W1449" t="s">
        <v>1594</v>
      </c>
      <c r="X1449">
        <v>11.91</v>
      </c>
    </row>
    <row r="1450" spans="1:24" x14ac:dyDescent="0.25">
      <c r="A1450" t="s">
        <v>1470</v>
      </c>
      <c r="B1450" s="4">
        <v>45867</v>
      </c>
      <c r="C1450" s="4" t="str">
        <f t="shared" si="44"/>
        <v>Jul</v>
      </c>
      <c r="D1450" t="s">
        <v>1522</v>
      </c>
      <c r="E1450" t="s">
        <v>1525</v>
      </c>
      <c r="F1450" t="s">
        <v>1530</v>
      </c>
      <c r="G1450" t="s">
        <v>1543</v>
      </c>
      <c r="H1450" t="s">
        <v>1552</v>
      </c>
      <c r="I1450">
        <v>2025</v>
      </c>
      <c r="J1450" t="s">
        <v>1555</v>
      </c>
      <c r="K1450" t="s">
        <v>1556</v>
      </c>
      <c r="L1450">
        <v>1982921</v>
      </c>
      <c r="M1450">
        <v>1770784</v>
      </c>
      <c r="N1450">
        <v>212137</v>
      </c>
      <c r="O1450">
        <v>65</v>
      </c>
      <c r="P1450" t="str">
        <f t="shared" si="45"/>
        <v>senior</v>
      </c>
      <c r="Q1450" t="s">
        <v>1559</v>
      </c>
      <c r="R1450" t="s">
        <v>1566</v>
      </c>
      <c r="S1450" t="s">
        <v>1568</v>
      </c>
      <c r="T1450">
        <v>1978894</v>
      </c>
      <c r="U1450">
        <v>1</v>
      </c>
      <c r="V1450" t="s">
        <v>1579</v>
      </c>
      <c r="W1450" t="s">
        <v>1594</v>
      </c>
      <c r="X1450">
        <v>10.7</v>
      </c>
    </row>
    <row r="1451" spans="1:24" x14ac:dyDescent="0.25">
      <c r="A1451" t="s">
        <v>1471</v>
      </c>
      <c r="B1451" s="4">
        <v>46232</v>
      </c>
      <c r="C1451" s="4" t="str">
        <f t="shared" si="44"/>
        <v>Jul</v>
      </c>
      <c r="D1451" t="s">
        <v>1522</v>
      </c>
      <c r="E1451" t="s">
        <v>1523</v>
      </c>
      <c r="F1451" t="s">
        <v>1535</v>
      </c>
      <c r="G1451" t="s">
        <v>1545</v>
      </c>
      <c r="H1451" t="s">
        <v>1550</v>
      </c>
      <c r="I1451">
        <v>2026</v>
      </c>
      <c r="J1451" t="s">
        <v>1554</v>
      </c>
      <c r="K1451" t="s">
        <v>1557</v>
      </c>
      <c r="L1451">
        <v>1680061</v>
      </c>
      <c r="M1451">
        <v>1345760</v>
      </c>
      <c r="N1451">
        <v>334301</v>
      </c>
      <c r="O1451">
        <v>47</v>
      </c>
      <c r="P1451" t="str">
        <f t="shared" si="45"/>
        <v>adult</v>
      </c>
      <c r="Q1451" t="s">
        <v>1559</v>
      </c>
      <c r="R1451" t="s">
        <v>1562</v>
      </c>
      <c r="S1451" t="s">
        <v>1567</v>
      </c>
      <c r="T1451">
        <v>377586</v>
      </c>
      <c r="U1451">
        <v>4</v>
      </c>
      <c r="V1451" t="s">
        <v>1587</v>
      </c>
      <c r="W1451" t="s">
        <v>1594</v>
      </c>
      <c r="X1451">
        <v>19.899999999999999</v>
      </c>
    </row>
    <row r="1452" spans="1:24" x14ac:dyDescent="0.25">
      <c r="A1452" t="s">
        <v>1472</v>
      </c>
      <c r="B1452" s="4">
        <v>45746</v>
      </c>
      <c r="C1452" s="4" t="str">
        <f t="shared" si="44"/>
        <v>Mar</v>
      </c>
      <c r="D1452" t="s">
        <v>1522</v>
      </c>
      <c r="E1452" t="s">
        <v>1525</v>
      </c>
      <c r="F1452" t="s">
        <v>1535</v>
      </c>
      <c r="G1452" t="s">
        <v>1549</v>
      </c>
      <c r="H1452" t="s">
        <v>1551</v>
      </c>
      <c r="I1452">
        <v>2026</v>
      </c>
      <c r="J1452" t="s">
        <v>1554</v>
      </c>
      <c r="K1452" t="s">
        <v>1557</v>
      </c>
      <c r="L1452">
        <v>1002217</v>
      </c>
      <c r="M1452">
        <v>957079</v>
      </c>
      <c r="N1452">
        <v>45138</v>
      </c>
      <c r="O1452">
        <v>46</v>
      </c>
      <c r="P1452" t="str">
        <f t="shared" si="45"/>
        <v>adult</v>
      </c>
      <c r="Q1452" t="s">
        <v>1558</v>
      </c>
      <c r="R1452" t="s">
        <v>1563</v>
      </c>
      <c r="S1452" t="s">
        <v>1568</v>
      </c>
      <c r="T1452">
        <v>352523</v>
      </c>
      <c r="U1452">
        <v>1</v>
      </c>
      <c r="V1452" t="s">
        <v>1588</v>
      </c>
      <c r="W1452" t="s">
        <v>1591</v>
      </c>
      <c r="X1452">
        <v>4.5</v>
      </c>
    </row>
    <row r="1453" spans="1:24" x14ac:dyDescent="0.25">
      <c r="A1453" t="s">
        <v>1473</v>
      </c>
      <c r="B1453" s="4">
        <v>46254</v>
      </c>
      <c r="C1453" s="4" t="str">
        <f t="shared" si="44"/>
        <v>Aug</v>
      </c>
      <c r="D1453" t="s">
        <v>1522</v>
      </c>
      <c r="E1453" t="s">
        <v>1526</v>
      </c>
      <c r="F1453" t="s">
        <v>1537</v>
      </c>
      <c r="G1453" t="s">
        <v>1540</v>
      </c>
      <c r="H1453" t="s">
        <v>1550</v>
      </c>
      <c r="I1453">
        <v>2023</v>
      </c>
      <c r="J1453" t="s">
        <v>1554</v>
      </c>
      <c r="K1453" t="s">
        <v>1557</v>
      </c>
      <c r="L1453">
        <v>1550639</v>
      </c>
      <c r="M1453">
        <v>1362467</v>
      </c>
      <c r="N1453">
        <v>188172</v>
      </c>
      <c r="O1453">
        <v>46</v>
      </c>
      <c r="P1453" t="str">
        <f t="shared" si="45"/>
        <v>adult</v>
      </c>
      <c r="Q1453" t="s">
        <v>1558</v>
      </c>
      <c r="R1453" t="s">
        <v>1563</v>
      </c>
      <c r="S1453" t="s">
        <v>1567</v>
      </c>
      <c r="T1453">
        <v>1857178</v>
      </c>
      <c r="U1453">
        <v>2</v>
      </c>
      <c r="V1453" t="s">
        <v>1576</v>
      </c>
      <c r="W1453" t="s">
        <v>1594</v>
      </c>
      <c r="X1453">
        <v>12.14</v>
      </c>
    </row>
    <row r="1454" spans="1:24" x14ac:dyDescent="0.25">
      <c r="A1454" t="s">
        <v>1474</v>
      </c>
      <c r="B1454" s="4">
        <v>45976</v>
      </c>
      <c r="C1454" s="4" t="str">
        <f t="shared" si="44"/>
        <v>Nov</v>
      </c>
      <c r="D1454" t="s">
        <v>1522</v>
      </c>
      <c r="E1454" t="s">
        <v>1526</v>
      </c>
      <c r="F1454" t="s">
        <v>1536</v>
      </c>
      <c r="G1454" t="s">
        <v>1548</v>
      </c>
      <c r="H1454" t="s">
        <v>1551</v>
      </c>
      <c r="I1454">
        <v>2025</v>
      </c>
      <c r="J1454" t="s">
        <v>1554</v>
      </c>
      <c r="K1454" t="s">
        <v>1556</v>
      </c>
      <c r="L1454">
        <v>971281</v>
      </c>
      <c r="M1454">
        <v>877564</v>
      </c>
      <c r="N1454">
        <v>93717</v>
      </c>
      <c r="O1454">
        <v>48</v>
      </c>
      <c r="P1454" t="str">
        <f t="shared" si="45"/>
        <v>adult</v>
      </c>
      <c r="Q1454" t="s">
        <v>1558</v>
      </c>
      <c r="R1454" t="s">
        <v>1566</v>
      </c>
      <c r="S1454" t="s">
        <v>1569</v>
      </c>
      <c r="T1454">
        <v>1051560</v>
      </c>
      <c r="U1454">
        <v>3</v>
      </c>
      <c r="V1454" t="s">
        <v>1583</v>
      </c>
      <c r="W1454" t="s">
        <v>1593</v>
      </c>
      <c r="X1454">
        <v>9.65</v>
      </c>
    </row>
    <row r="1455" spans="1:24" x14ac:dyDescent="0.25">
      <c r="A1455" t="s">
        <v>1475</v>
      </c>
      <c r="B1455" s="4">
        <v>45769</v>
      </c>
      <c r="C1455" s="4" t="str">
        <f t="shared" si="44"/>
        <v>Apr</v>
      </c>
      <c r="D1455" t="s">
        <v>1522</v>
      </c>
      <c r="E1455" t="s">
        <v>1526</v>
      </c>
      <c r="F1455" t="s">
        <v>1530</v>
      </c>
      <c r="G1455" t="s">
        <v>1548</v>
      </c>
      <c r="H1455" t="s">
        <v>4</v>
      </c>
      <c r="I1455">
        <v>2023</v>
      </c>
      <c r="J1455" t="s">
        <v>1554</v>
      </c>
      <c r="K1455" t="s">
        <v>1556</v>
      </c>
      <c r="L1455">
        <v>1380960</v>
      </c>
      <c r="M1455">
        <v>1272283</v>
      </c>
      <c r="N1455">
        <v>108677</v>
      </c>
      <c r="O1455">
        <v>58</v>
      </c>
      <c r="P1455" t="str">
        <f t="shared" si="45"/>
        <v>senior</v>
      </c>
      <c r="Q1455" t="s">
        <v>1559</v>
      </c>
      <c r="R1455" t="s">
        <v>1564</v>
      </c>
      <c r="S1455" t="s">
        <v>1569</v>
      </c>
      <c r="T1455">
        <v>1544788</v>
      </c>
      <c r="U1455">
        <v>4</v>
      </c>
      <c r="V1455" t="s">
        <v>1573</v>
      </c>
      <c r="W1455" t="s">
        <v>1592</v>
      </c>
      <c r="X1455">
        <v>7.87</v>
      </c>
    </row>
    <row r="1456" spans="1:24" x14ac:dyDescent="0.25">
      <c r="A1456" t="s">
        <v>1476</v>
      </c>
      <c r="B1456" s="4">
        <v>45917</v>
      </c>
      <c r="C1456" s="4" t="str">
        <f t="shared" si="44"/>
        <v>Sep</v>
      </c>
      <c r="D1456" t="s">
        <v>1522</v>
      </c>
      <c r="E1456" t="s">
        <v>1525</v>
      </c>
      <c r="F1456" t="s">
        <v>1532</v>
      </c>
      <c r="G1456" t="s">
        <v>1548</v>
      </c>
      <c r="H1456" t="s">
        <v>4</v>
      </c>
      <c r="I1456">
        <v>2026</v>
      </c>
      <c r="J1456" t="s">
        <v>1554</v>
      </c>
      <c r="K1456" t="s">
        <v>1557</v>
      </c>
      <c r="L1456">
        <v>1334098</v>
      </c>
      <c r="M1456">
        <v>1231866</v>
      </c>
      <c r="N1456">
        <v>102232</v>
      </c>
      <c r="O1456">
        <v>33</v>
      </c>
      <c r="P1456" t="str">
        <f t="shared" si="45"/>
        <v>adult</v>
      </c>
      <c r="Q1456" t="s">
        <v>1559</v>
      </c>
      <c r="R1456" t="s">
        <v>1563</v>
      </c>
      <c r="S1456" t="s">
        <v>1567</v>
      </c>
      <c r="T1456">
        <v>93277</v>
      </c>
      <c r="U1456">
        <v>5</v>
      </c>
      <c r="V1456" t="s">
        <v>1577</v>
      </c>
      <c r="W1456" t="s">
        <v>1594</v>
      </c>
      <c r="X1456">
        <v>7.66</v>
      </c>
    </row>
    <row r="1457" spans="1:24" x14ac:dyDescent="0.25">
      <c r="A1457" t="s">
        <v>1477</v>
      </c>
      <c r="B1457" s="4">
        <v>45762</v>
      </c>
      <c r="C1457" s="4" t="str">
        <f t="shared" si="44"/>
        <v>Apr</v>
      </c>
      <c r="D1457" t="s">
        <v>1522</v>
      </c>
      <c r="E1457" t="s">
        <v>1524</v>
      </c>
      <c r="F1457" t="s">
        <v>1535</v>
      </c>
      <c r="G1457" t="s">
        <v>1541</v>
      </c>
      <c r="H1457" t="s">
        <v>1552</v>
      </c>
      <c r="I1457">
        <v>2024</v>
      </c>
      <c r="J1457" t="s">
        <v>1555</v>
      </c>
      <c r="K1457" t="s">
        <v>1556</v>
      </c>
      <c r="L1457">
        <v>1891917</v>
      </c>
      <c r="M1457">
        <v>1705523</v>
      </c>
      <c r="N1457">
        <v>186394</v>
      </c>
      <c r="O1457">
        <v>33</v>
      </c>
      <c r="P1457" t="str">
        <f t="shared" si="45"/>
        <v>adult</v>
      </c>
      <c r="Q1457" t="s">
        <v>1559</v>
      </c>
      <c r="R1457" t="s">
        <v>1561</v>
      </c>
      <c r="S1457" t="s">
        <v>1567</v>
      </c>
      <c r="T1457">
        <v>1575689</v>
      </c>
      <c r="U1457">
        <v>1</v>
      </c>
      <c r="V1457" t="s">
        <v>1573</v>
      </c>
      <c r="W1457" t="s">
        <v>1592</v>
      </c>
      <c r="X1457">
        <v>9.85</v>
      </c>
    </row>
    <row r="1458" spans="1:24" x14ac:dyDescent="0.25">
      <c r="A1458" t="s">
        <v>1478</v>
      </c>
      <c r="B1458" s="4">
        <v>45746</v>
      </c>
      <c r="C1458" s="4" t="str">
        <f t="shared" si="44"/>
        <v>Mar</v>
      </c>
      <c r="D1458" t="s">
        <v>1522</v>
      </c>
      <c r="E1458" t="s">
        <v>1527</v>
      </c>
      <c r="F1458" t="s">
        <v>1533</v>
      </c>
      <c r="G1458" t="s">
        <v>1548</v>
      </c>
      <c r="H1458" t="s">
        <v>4</v>
      </c>
      <c r="I1458">
        <v>2024</v>
      </c>
      <c r="J1458" t="s">
        <v>1554</v>
      </c>
      <c r="K1458" t="s">
        <v>1556</v>
      </c>
      <c r="L1458">
        <v>1384312</v>
      </c>
      <c r="M1458">
        <v>1248759</v>
      </c>
      <c r="N1458">
        <v>135553</v>
      </c>
      <c r="O1458">
        <v>44</v>
      </c>
      <c r="P1458" t="str">
        <f t="shared" si="45"/>
        <v>adult</v>
      </c>
      <c r="Q1458" t="s">
        <v>1558</v>
      </c>
      <c r="R1458" t="s">
        <v>1562</v>
      </c>
      <c r="S1458" t="s">
        <v>1568</v>
      </c>
      <c r="T1458">
        <v>1784279</v>
      </c>
      <c r="U1458">
        <v>1</v>
      </c>
      <c r="V1458" t="s">
        <v>1588</v>
      </c>
      <c r="W1458" t="s">
        <v>1591</v>
      </c>
      <c r="X1458">
        <v>9.7899999999999991</v>
      </c>
    </row>
    <row r="1459" spans="1:24" x14ac:dyDescent="0.25">
      <c r="A1459" t="s">
        <v>1479</v>
      </c>
      <c r="B1459" s="4">
        <v>45923</v>
      </c>
      <c r="C1459" s="4" t="str">
        <f t="shared" si="44"/>
        <v>Sep</v>
      </c>
      <c r="D1459" t="s">
        <v>1522</v>
      </c>
      <c r="E1459" t="s">
        <v>1526</v>
      </c>
      <c r="F1459" t="s">
        <v>1536</v>
      </c>
      <c r="G1459" t="s">
        <v>1541</v>
      </c>
      <c r="H1459" t="s">
        <v>1550</v>
      </c>
      <c r="I1459">
        <v>2023</v>
      </c>
      <c r="J1459" t="s">
        <v>1554</v>
      </c>
      <c r="K1459" t="s">
        <v>1556</v>
      </c>
      <c r="L1459">
        <v>1378585</v>
      </c>
      <c r="M1459">
        <v>1177054</v>
      </c>
      <c r="N1459">
        <v>201531</v>
      </c>
      <c r="O1459">
        <v>30</v>
      </c>
      <c r="P1459" t="str">
        <f t="shared" si="45"/>
        <v>young</v>
      </c>
      <c r="Q1459" t="s">
        <v>1558</v>
      </c>
      <c r="R1459" t="s">
        <v>1561</v>
      </c>
      <c r="S1459" t="s">
        <v>1568</v>
      </c>
      <c r="T1459">
        <v>585780</v>
      </c>
      <c r="U1459">
        <v>5</v>
      </c>
      <c r="V1459" t="s">
        <v>1577</v>
      </c>
      <c r="W1459" t="s">
        <v>1594</v>
      </c>
      <c r="X1459">
        <v>14.62</v>
      </c>
    </row>
    <row r="1460" spans="1:24" x14ac:dyDescent="0.25">
      <c r="A1460" t="s">
        <v>1480</v>
      </c>
      <c r="B1460" s="4">
        <v>45977</v>
      </c>
      <c r="C1460" s="4" t="str">
        <f t="shared" si="44"/>
        <v>Nov</v>
      </c>
      <c r="D1460" t="s">
        <v>1522</v>
      </c>
      <c r="E1460" t="s">
        <v>1524</v>
      </c>
      <c r="F1460" t="s">
        <v>1535</v>
      </c>
      <c r="G1460" t="s">
        <v>1545</v>
      </c>
      <c r="H1460" t="s">
        <v>1551</v>
      </c>
      <c r="I1460">
        <v>2025</v>
      </c>
      <c r="J1460" t="s">
        <v>1554</v>
      </c>
      <c r="K1460" t="s">
        <v>1557</v>
      </c>
      <c r="L1460">
        <v>926484</v>
      </c>
      <c r="M1460">
        <v>846934</v>
      </c>
      <c r="N1460">
        <v>79550</v>
      </c>
      <c r="O1460">
        <v>47</v>
      </c>
      <c r="P1460" t="str">
        <f t="shared" si="45"/>
        <v>adult</v>
      </c>
      <c r="Q1460" t="s">
        <v>1558</v>
      </c>
      <c r="R1460" t="s">
        <v>1563</v>
      </c>
      <c r="S1460" t="s">
        <v>1570</v>
      </c>
      <c r="T1460">
        <v>1642111</v>
      </c>
      <c r="U1460">
        <v>1</v>
      </c>
      <c r="V1460" t="s">
        <v>1583</v>
      </c>
      <c r="W1460" t="s">
        <v>1593</v>
      </c>
      <c r="X1460">
        <v>8.59</v>
      </c>
    </row>
    <row r="1461" spans="1:24" x14ac:dyDescent="0.25">
      <c r="A1461" t="s">
        <v>1481</v>
      </c>
      <c r="B1461" s="4">
        <v>46132</v>
      </c>
      <c r="C1461" s="4" t="str">
        <f t="shared" si="44"/>
        <v>Apr</v>
      </c>
      <c r="D1461" t="s">
        <v>1522</v>
      </c>
      <c r="E1461" t="s">
        <v>1523</v>
      </c>
      <c r="F1461" t="s">
        <v>1537</v>
      </c>
      <c r="G1461" t="s">
        <v>1545</v>
      </c>
      <c r="H1461" t="s">
        <v>4</v>
      </c>
      <c r="I1461">
        <v>2026</v>
      </c>
      <c r="J1461" t="s">
        <v>1554</v>
      </c>
      <c r="K1461" t="s">
        <v>1557</v>
      </c>
      <c r="L1461">
        <v>1663011</v>
      </c>
      <c r="M1461">
        <v>1404705</v>
      </c>
      <c r="N1461">
        <v>258306</v>
      </c>
      <c r="O1461">
        <v>48</v>
      </c>
      <c r="P1461" t="str">
        <f t="shared" si="45"/>
        <v>adult</v>
      </c>
      <c r="Q1461" t="s">
        <v>1558</v>
      </c>
      <c r="R1461" t="s">
        <v>1565</v>
      </c>
      <c r="S1461" t="s">
        <v>1570</v>
      </c>
      <c r="T1461">
        <v>2171276</v>
      </c>
      <c r="U1461">
        <v>1</v>
      </c>
      <c r="V1461" t="s">
        <v>1580</v>
      </c>
      <c r="W1461" t="s">
        <v>1592</v>
      </c>
      <c r="X1461">
        <v>15.53</v>
      </c>
    </row>
    <row r="1462" spans="1:24" x14ac:dyDescent="0.25">
      <c r="A1462" t="s">
        <v>1482</v>
      </c>
      <c r="B1462" s="4">
        <v>45698</v>
      </c>
      <c r="C1462" s="4" t="str">
        <f t="shared" si="44"/>
        <v>Feb</v>
      </c>
      <c r="D1462" t="s">
        <v>1522</v>
      </c>
      <c r="E1462" t="s">
        <v>1525</v>
      </c>
      <c r="F1462" t="s">
        <v>1532</v>
      </c>
      <c r="G1462" t="s">
        <v>1549</v>
      </c>
      <c r="H1462" t="s">
        <v>1551</v>
      </c>
      <c r="I1462">
        <v>2026</v>
      </c>
      <c r="J1462" t="s">
        <v>1554</v>
      </c>
      <c r="K1462" t="s">
        <v>1557</v>
      </c>
      <c r="L1462">
        <v>1029476</v>
      </c>
      <c r="M1462">
        <v>842859</v>
      </c>
      <c r="N1462">
        <v>186617</v>
      </c>
      <c r="O1462">
        <v>45</v>
      </c>
      <c r="P1462" t="str">
        <f t="shared" si="45"/>
        <v>adult</v>
      </c>
      <c r="Q1462" t="s">
        <v>1558</v>
      </c>
      <c r="R1462" t="s">
        <v>1562</v>
      </c>
      <c r="S1462" t="s">
        <v>1567</v>
      </c>
      <c r="T1462">
        <v>907953</v>
      </c>
      <c r="U1462">
        <v>5</v>
      </c>
      <c r="V1462" t="s">
        <v>1578</v>
      </c>
      <c r="W1462" t="s">
        <v>1591</v>
      </c>
      <c r="X1462">
        <v>18.13</v>
      </c>
    </row>
    <row r="1463" spans="1:24" x14ac:dyDescent="0.25">
      <c r="A1463" t="s">
        <v>1483</v>
      </c>
      <c r="B1463" s="4">
        <v>45716</v>
      </c>
      <c r="C1463" s="4" t="str">
        <f t="shared" si="44"/>
        <v>Feb</v>
      </c>
      <c r="D1463" t="s">
        <v>1522</v>
      </c>
      <c r="E1463" t="s">
        <v>1523</v>
      </c>
      <c r="F1463" t="s">
        <v>1534</v>
      </c>
      <c r="G1463" t="s">
        <v>1542</v>
      </c>
      <c r="H1463" t="s">
        <v>4</v>
      </c>
      <c r="I1463">
        <v>2024</v>
      </c>
      <c r="J1463" t="s">
        <v>1554</v>
      </c>
      <c r="K1463" t="s">
        <v>1557</v>
      </c>
      <c r="L1463">
        <v>1583589</v>
      </c>
      <c r="M1463">
        <v>1330034</v>
      </c>
      <c r="N1463">
        <v>253555</v>
      </c>
      <c r="O1463">
        <v>34</v>
      </c>
      <c r="P1463" t="str">
        <f t="shared" si="45"/>
        <v>adult</v>
      </c>
      <c r="Q1463" t="s">
        <v>1558</v>
      </c>
      <c r="R1463" t="s">
        <v>1562</v>
      </c>
      <c r="S1463" t="s">
        <v>1567</v>
      </c>
      <c r="T1463">
        <v>56157</v>
      </c>
      <c r="U1463">
        <v>5</v>
      </c>
      <c r="V1463" t="s">
        <v>1578</v>
      </c>
      <c r="W1463" t="s">
        <v>1591</v>
      </c>
      <c r="X1463">
        <v>16.010000000000002</v>
      </c>
    </row>
    <row r="1464" spans="1:24" x14ac:dyDescent="0.25">
      <c r="A1464" t="s">
        <v>1484</v>
      </c>
      <c r="B1464" s="4">
        <v>45901</v>
      </c>
      <c r="C1464" s="4" t="str">
        <f t="shared" si="44"/>
        <v>Sep</v>
      </c>
      <c r="D1464" t="s">
        <v>1522</v>
      </c>
      <c r="E1464" t="s">
        <v>1524</v>
      </c>
      <c r="F1464" t="s">
        <v>1531</v>
      </c>
      <c r="G1464" t="s">
        <v>1548</v>
      </c>
      <c r="H1464" t="s">
        <v>1550</v>
      </c>
      <c r="I1464">
        <v>2023</v>
      </c>
      <c r="J1464" t="s">
        <v>1554</v>
      </c>
      <c r="K1464" t="s">
        <v>1557</v>
      </c>
      <c r="L1464">
        <v>1576331</v>
      </c>
      <c r="M1464">
        <v>1338581</v>
      </c>
      <c r="N1464">
        <v>237750</v>
      </c>
      <c r="O1464">
        <v>22</v>
      </c>
      <c r="P1464" t="str">
        <f t="shared" si="45"/>
        <v>young</v>
      </c>
      <c r="Q1464" t="s">
        <v>1558</v>
      </c>
      <c r="R1464" t="s">
        <v>1564</v>
      </c>
      <c r="S1464" t="s">
        <v>1568</v>
      </c>
      <c r="T1464">
        <v>623807</v>
      </c>
      <c r="U1464">
        <v>5</v>
      </c>
      <c r="V1464" t="s">
        <v>1577</v>
      </c>
      <c r="W1464" t="s">
        <v>1594</v>
      </c>
      <c r="X1464">
        <v>15.08</v>
      </c>
    </row>
    <row r="1465" spans="1:24" x14ac:dyDescent="0.25">
      <c r="A1465" t="s">
        <v>1485</v>
      </c>
      <c r="B1465" s="4">
        <v>46096</v>
      </c>
      <c r="C1465" s="4" t="str">
        <f t="shared" si="44"/>
        <v>Mar</v>
      </c>
      <c r="D1465" t="s">
        <v>1522</v>
      </c>
      <c r="E1465" t="s">
        <v>1525</v>
      </c>
      <c r="F1465" t="s">
        <v>1530</v>
      </c>
      <c r="G1465" t="s">
        <v>1546</v>
      </c>
      <c r="H1465" t="s">
        <v>1551</v>
      </c>
      <c r="I1465">
        <v>2025</v>
      </c>
      <c r="J1465" t="s">
        <v>1554</v>
      </c>
      <c r="K1465" t="s">
        <v>1557</v>
      </c>
      <c r="L1465">
        <v>926867</v>
      </c>
      <c r="M1465">
        <v>849737</v>
      </c>
      <c r="N1465">
        <v>77130</v>
      </c>
      <c r="O1465">
        <v>45</v>
      </c>
      <c r="P1465" t="str">
        <f t="shared" si="45"/>
        <v>adult</v>
      </c>
      <c r="Q1465" t="s">
        <v>1559</v>
      </c>
      <c r="R1465" t="s">
        <v>1561</v>
      </c>
      <c r="S1465" t="s">
        <v>1567</v>
      </c>
      <c r="T1465">
        <v>55693</v>
      </c>
      <c r="U1465">
        <v>1</v>
      </c>
      <c r="V1465" t="s">
        <v>1586</v>
      </c>
      <c r="W1465" t="s">
        <v>1591</v>
      </c>
      <c r="X1465">
        <v>8.32</v>
      </c>
    </row>
    <row r="1466" spans="1:24" x14ac:dyDescent="0.25">
      <c r="A1466" t="s">
        <v>1486</v>
      </c>
      <c r="B1466" s="4">
        <v>46094</v>
      </c>
      <c r="C1466" s="4" t="str">
        <f t="shared" si="44"/>
        <v>Mar</v>
      </c>
      <c r="D1466" t="s">
        <v>1522</v>
      </c>
      <c r="E1466" t="s">
        <v>1526</v>
      </c>
      <c r="F1466" t="s">
        <v>1534</v>
      </c>
      <c r="G1466" t="s">
        <v>1538</v>
      </c>
      <c r="H1466" t="s">
        <v>1550</v>
      </c>
      <c r="I1466">
        <v>2025</v>
      </c>
      <c r="J1466" t="s">
        <v>1554</v>
      </c>
      <c r="K1466" t="s">
        <v>1556</v>
      </c>
      <c r="L1466">
        <v>1255116</v>
      </c>
      <c r="M1466">
        <v>1119254</v>
      </c>
      <c r="N1466">
        <v>135862</v>
      </c>
      <c r="O1466">
        <v>52</v>
      </c>
      <c r="P1466" t="str">
        <f t="shared" si="45"/>
        <v>senior</v>
      </c>
      <c r="Q1466" t="s">
        <v>1558</v>
      </c>
      <c r="R1466" t="s">
        <v>1566</v>
      </c>
      <c r="S1466" t="s">
        <v>1567</v>
      </c>
      <c r="T1466">
        <v>288480</v>
      </c>
      <c r="U1466">
        <v>5</v>
      </c>
      <c r="V1466" t="s">
        <v>1586</v>
      </c>
      <c r="W1466" t="s">
        <v>1591</v>
      </c>
      <c r="X1466">
        <v>10.82</v>
      </c>
    </row>
    <row r="1467" spans="1:24" x14ac:dyDescent="0.25">
      <c r="A1467" t="s">
        <v>1487</v>
      </c>
      <c r="B1467" s="4">
        <v>45868</v>
      </c>
      <c r="C1467" s="4" t="str">
        <f t="shared" si="44"/>
        <v>Jul</v>
      </c>
      <c r="D1467" t="s">
        <v>1522</v>
      </c>
      <c r="E1467" t="s">
        <v>1527</v>
      </c>
      <c r="F1467" t="s">
        <v>1534</v>
      </c>
      <c r="G1467" t="s">
        <v>1539</v>
      </c>
      <c r="H1467" t="s">
        <v>4</v>
      </c>
      <c r="I1467">
        <v>2026</v>
      </c>
      <c r="J1467" t="s">
        <v>1554</v>
      </c>
      <c r="K1467" t="s">
        <v>1557</v>
      </c>
      <c r="L1467">
        <v>1684540</v>
      </c>
      <c r="M1467">
        <v>1450293</v>
      </c>
      <c r="N1467">
        <v>234247</v>
      </c>
      <c r="O1467">
        <v>36</v>
      </c>
      <c r="P1467" t="str">
        <f t="shared" si="45"/>
        <v>adult</v>
      </c>
      <c r="Q1467" t="s">
        <v>1558</v>
      </c>
      <c r="R1467" t="s">
        <v>1562</v>
      </c>
      <c r="S1467" t="s">
        <v>1570</v>
      </c>
      <c r="T1467">
        <v>902036</v>
      </c>
      <c r="U1467">
        <v>4</v>
      </c>
      <c r="V1467" t="s">
        <v>1579</v>
      </c>
      <c r="W1467" t="s">
        <v>1594</v>
      </c>
      <c r="X1467">
        <v>13.91</v>
      </c>
    </row>
    <row r="1468" spans="1:24" x14ac:dyDescent="0.25">
      <c r="A1468" t="s">
        <v>1488</v>
      </c>
      <c r="B1468" s="4">
        <v>46186</v>
      </c>
      <c r="C1468" s="4" t="str">
        <f t="shared" si="44"/>
        <v>Jun</v>
      </c>
      <c r="D1468" t="s">
        <v>1522</v>
      </c>
      <c r="E1468" t="s">
        <v>1523</v>
      </c>
      <c r="F1468" t="s">
        <v>1537</v>
      </c>
      <c r="G1468" t="s">
        <v>1540</v>
      </c>
      <c r="H1468" t="s">
        <v>4</v>
      </c>
      <c r="I1468">
        <v>2025</v>
      </c>
      <c r="J1468" t="s">
        <v>1554</v>
      </c>
      <c r="K1468" t="s">
        <v>1557</v>
      </c>
      <c r="L1468">
        <v>1775828</v>
      </c>
      <c r="M1468">
        <v>1671193</v>
      </c>
      <c r="N1468">
        <v>104635</v>
      </c>
      <c r="O1468">
        <v>57</v>
      </c>
      <c r="P1468" t="str">
        <f t="shared" si="45"/>
        <v>senior</v>
      </c>
      <c r="Q1468" t="s">
        <v>1558</v>
      </c>
      <c r="R1468" t="s">
        <v>1564</v>
      </c>
      <c r="S1468" t="s">
        <v>1567</v>
      </c>
      <c r="T1468">
        <v>783976</v>
      </c>
      <c r="U1468">
        <v>3</v>
      </c>
      <c r="V1468" t="s">
        <v>1582</v>
      </c>
      <c r="W1468" t="s">
        <v>1592</v>
      </c>
      <c r="X1468">
        <v>5.89</v>
      </c>
    </row>
    <row r="1469" spans="1:24" x14ac:dyDescent="0.25">
      <c r="A1469" t="s">
        <v>1489</v>
      </c>
      <c r="B1469" s="4">
        <v>45757</v>
      </c>
      <c r="C1469" s="4" t="str">
        <f t="shared" si="44"/>
        <v>Apr</v>
      </c>
      <c r="D1469" t="s">
        <v>1522</v>
      </c>
      <c r="E1469" t="s">
        <v>1526</v>
      </c>
      <c r="F1469" t="s">
        <v>1532</v>
      </c>
      <c r="G1469" t="s">
        <v>1544</v>
      </c>
      <c r="H1469" t="s">
        <v>4</v>
      </c>
      <c r="I1469">
        <v>2026</v>
      </c>
      <c r="J1469" t="s">
        <v>1554</v>
      </c>
      <c r="K1469" t="s">
        <v>1556</v>
      </c>
      <c r="L1469">
        <v>1715389</v>
      </c>
      <c r="M1469">
        <v>1574051</v>
      </c>
      <c r="N1469">
        <v>141338</v>
      </c>
      <c r="O1469">
        <v>52</v>
      </c>
      <c r="P1469" t="str">
        <f t="shared" si="45"/>
        <v>senior</v>
      </c>
      <c r="Q1469" t="s">
        <v>1559</v>
      </c>
      <c r="R1469" t="s">
        <v>1565</v>
      </c>
      <c r="S1469" t="s">
        <v>1568</v>
      </c>
      <c r="T1469">
        <v>365279</v>
      </c>
      <c r="U1469">
        <v>2</v>
      </c>
      <c r="V1469" t="s">
        <v>1573</v>
      </c>
      <c r="W1469" t="s">
        <v>1592</v>
      </c>
      <c r="X1469">
        <v>8.24</v>
      </c>
    </row>
    <row r="1470" spans="1:24" x14ac:dyDescent="0.25">
      <c r="A1470" t="s">
        <v>1490</v>
      </c>
      <c r="B1470" s="4">
        <v>45852</v>
      </c>
      <c r="C1470" s="4" t="str">
        <f t="shared" si="44"/>
        <v>Jul</v>
      </c>
      <c r="D1470" t="s">
        <v>1522</v>
      </c>
      <c r="E1470" t="s">
        <v>1524</v>
      </c>
      <c r="F1470" t="s">
        <v>1531</v>
      </c>
      <c r="G1470" t="s">
        <v>1547</v>
      </c>
      <c r="H1470" t="s">
        <v>1552</v>
      </c>
      <c r="I1470">
        <v>2025</v>
      </c>
      <c r="J1470" t="s">
        <v>1555</v>
      </c>
      <c r="K1470" t="s">
        <v>1556</v>
      </c>
      <c r="L1470">
        <v>1896454</v>
      </c>
      <c r="M1470">
        <v>1592404</v>
      </c>
      <c r="N1470">
        <v>304050</v>
      </c>
      <c r="O1470">
        <v>40</v>
      </c>
      <c r="P1470" t="str">
        <f t="shared" si="45"/>
        <v>adult</v>
      </c>
      <c r="Q1470" t="s">
        <v>1559</v>
      </c>
      <c r="R1470" t="s">
        <v>1561</v>
      </c>
      <c r="S1470" t="s">
        <v>1569</v>
      </c>
      <c r="T1470">
        <v>840516</v>
      </c>
      <c r="U1470">
        <v>5</v>
      </c>
      <c r="V1470" t="s">
        <v>1579</v>
      </c>
      <c r="W1470" t="s">
        <v>1594</v>
      </c>
      <c r="X1470">
        <v>16.03</v>
      </c>
    </row>
    <row r="1471" spans="1:24" x14ac:dyDescent="0.25">
      <c r="A1471" t="s">
        <v>1491</v>
      </c>
      <c r="B1471" s="4">
        <v>46211</v>
      </c>
      <c r="C1471" s="4" t="str">
        <f t="shared" si="44"/>
        <v>Jul</v>
      </c>
      <c r="D1471" t="s">
        <v>1522</v>
      </c>
      <c r="E1471" t="s">
        <v>1523</v>
      </c>
      <c r="F1471" t="s">
        <v>1536</v>
      </c>
      <c r="G1471" t="s">
        <v>1544</v>
      </c>
      <c r="H1471" t="s">
        <v>4</v>
      </c>
      <c r="I1471">
        <v>2024</v>
      </c>
      <c r="J1471" t="s">
        <v>1554</v>
      </c>
      <c r="K1471" t="s">
        <v>1556</v>
      </c>
      <c r="L1471">
        <v>1683471</v>
      </c>
      <c r="M1471">
        <v>1443068</v>
      </c>
      <c r="N1471">
        <v>240403</v>
      </c>
      <c r="O1471">
        <v>35</v>
      </c>
      <c r="P1471" t="str">
        <f t="shared" si="45"/>
        <v>adult</v>
      </c>
      <c r="Q1471" t="s">
        <v>1558</v>
      </c>
      <c r="R1471" t="s">
        <v>1564</v>
      </c>
      <c r="S1471" t="s">
        <v>1567</v>
      </c>
      <c r="T1471">
        <v>207502</v>
      </c>
      <c r="U1471">
        <v>2</v>
      </c>
      <c r="V1471" t="s">
        <v>1587</v>
      </c>
      <c r="W1471" t="s">
        <v>1594</v>
      </c>
      <c r="X1471">
        <v>14.28</v>
      </c>
    </row>
    <row r="1472" spans="1:24" x14ac:dyDescent="0.25">
      <c r="A1472" t="s">
        <v>1492</v>
      </c>
      <c r="B1472" s="4">
        <v>45674</v>
      </c>
      <c r="C1472" s="4" t="str">
        <f t="shared" si="44"/>
        <v>Jan</v>
      </c>
      <c r="D1472" t="s">
        <v>1522</v>
      </c>
      <c r="E1472" t="s">
        <v>1527</v>
      </c>
      <c r="F1472" t="s">
        <v>1529</v>
      </c>
      <c r="G1472" t="s">
        <v>1549</v>
      </c>
      <c r="H1472" t="s">
        <v>1551</v>
      </c>
      <c r="I1472">
        <v>2026</v>
      </c>
      <c r="J1472" t="s">
        <v>1554</v>
      </c>
      <c r="K1472" t="s">
        <v>1557</v>
      </c>
      <c r="L1472">
        <v>805573</v>
      </c>
      <c r="M1472">
        <v>722875</v>
      </c>
      <c r="N1472">
        <v>82698</v>
      </c>
      <c r="O1472">
        <v>29</v>
      </c>
      <c r="P1472" t="str">
        <f t="shared" si="45"/>
        <v>young</v>
      </c>
      <c r="Q1472" t="s">
        <v>1558</v>
      </c>
      <c r="R1472" t="s">
        <v>1564</v>
      </c>
      <c r="S1472" t="s">
        <v>1567</v>
      </c>
      <c r="T1472">
        <v>1808828</v>
      </c>
      <c r="U1472">
        <v>5</v>
      </c>
      <c r="V1472" t="s">
        <v>1571</v>
      </c>
      <c r="W1472" t="s">
        <v>1591</v>
      </c>
      <c r="X1472">
        <v>10.27</v>
      </c>
    </row>
    <row r="1473" spans="1:24" x14ac:dyDescent="0.25">
      <c r="A1473" t="s">
        <v>1493</v>
      </c>
      <c r="B1473" s="4">
        <v>46073</v>
      </c>
      <c r="C1473" s="4" t="str">
        <f t="shared" si="44"/>
        <v>Feb</v>
      </c>
      <c r="D1473" t="s">
        <v>1522</v>
      </c>
      <c r="E1473" t="s">
        <v>1527</v>
      </c>
      <c r="F1473" t="s">
        <v>1533</v>
      </c>
      <c r="G1473" t="s">
        <v>1540</v>
      </c>
      <c r="H1473" t="s">
        <v>1551</v>
      </c>
      <c r="I1473">
        <v>2024</v>
      </c>
      <c r="J1473" t="s">
        <v>1554</v>
      </c>
      <c r="K1473" t="s">
        <v>1557</v>
      </c>
      <c r="L1473">
        <v>900740</v>
      </c>
      <c r="M1473">
        <v>817612</v>
      </c>
      <c r="N1473">
        <v>83128</v>
      </c>
      <c r="O1473">
        <v>63</v>
      </c>
      <c r="P1473" t="str">
        <f t="shared" si="45"/>
        <v>senior</v>
      </c>
      <c r="Q1473" t="s">
        <v>1558</v>
      </c>
      <c r="R1473" t="s">
        <v>1562</v>
      </c>
      <c r="S1473" t="s">
        <v>1569</v>
      </c>
      <c r="T1473">
        <v>275911</v>
      </c>
      <c r="U1473">
        <v>4</v>
      </c>
      <c r="V1473" t="s">
        <v>1589</v>
      </c>
      <c r="W1473" t="s">
        <v>1591</v>
      </c>
      <c r="X1473">
        <v>9.23</v>
      </c>
    </row>
    <row r="1474" spans="1:24" x14ac:dyDescent="0.25">
      <c r="A1474" t="s">
        <v>1494</v>
      </c>
      <c r="B1474" s="4">
        <v>46219</v>
      </c>
      <c r="C1474" s="4" t="str">
        <f t="shared" si="44"/>
        <v>Jul</v>
      </c>
      <c r="D1474" t="s">
        <v>1522</v>
      </c>
      <c r="E1474" t="s">
        <v>1526</v>
      </c>
      <c r="F1474" t="s">
        <v>1531</v>
      </c>
      <c r="G1474" t="s">
        <v>1544</v>
      </c>
      <c r="H1474" t="s">
        <v>4</v>
      </c>
      <c r="I1474">
        <v>2024</v>
      </c>
      <c r="J1474" t="s">
        <v>1554</v>
      </c>
      <c r="K1474" t="s">
        <v>1556</v>
      </c>
      <c r="L1474">
        <v>1555668</v>
      </c>
      <c r="M1474">
        <v>1362303</v>
      </c>
      <c r="N1474">
        <v>193365</v>
      </c>
      <c r="O1474">
        <v>43</v>
      </c>
      <c r="P1474" t="str">
        <f t="shared" si="45"/>
        <v>adult</v>
      </c>
      <c r="Q1474" t="s">
        <v>1559</v>
      </c>
      <c r="R1474" t="s">
        <v>1564</v>
      </c>
      <c r="S1474" t="s">
        <v>1570</v>
      </c>
      <c r="T1474">
        <v>1126716</v>
      </c>
      <c r="U1474">
        <v>3</v>
      </c>
      <c r="V1474" t="s">
        <v>1587</v>
      </c>
      <c r="W1474" t="s">
        <v>1594</v>
      </c>
      <c r="X1474">
        <v>12.43</v>
      </c>
    </row>
    <row r="1475" spans="1:24" x14ac:dyDescent="0.25">
      <c r="A1475" t="s">
        <v>1495</v>
      </c>
      <c r="B1475" s="4">
        <v>46192</v>
      </c>
      <c r="C1475" s="4" t="str">
        <f t="shared" ref="C1475:C1501" si="46">TEXT(B1475,"MMM")</f>
        <v>Jun</v>
      </c>
      <c r="D1475" t="s">
        <v>1522</v>
      </c>
      <c r="E1475" t="s">
        <v>1524</v>
      </c>
      <c r="F1475" t="s">
        <v>1535</v>
      </c>
      <c r="G1475" t="s">
        <v>1542</v>
      </c>
      <c r="H1475" t="s">
        <v>4</v>
      </c>
      <c r="I1475">
        <v>2025</v>
      </c>
      <c r="J1475" t="s">
        <v>1554</v>
      </c>
      <c r="K1475" t="s">
        <v>1556</v>
      </c>
      <c r="L1475">
        <v>1909833</v>
      </c>
      <c r="M1475">
        <v>1667701</v>
      </c>
      <c r="N1475">
        <v>242132</v>
      </c>
      <c r="O1475">
        <v>62</v>
      </c>
      <c r="P1475" t="str">
        <f t="shared" ref="P1475:P1501" si="47">IF(O1475&gt;50,"senior",IF(O1475&gt;30,"adult","young"))</f>
        <v>senior</v>
      </c>
      <c r="Q1475" t="s">
        <v>1558</v>
      </c>
      <c r="R1475" t="s">
        <v>1565</v>
      </c>
      <c r="S1475" t="s">
        <v>1567</v>
      </c>
      <c r="T1475">
        <v>554171</v>
      </c>
      <c r="U1475">
        <v>4</v>
      </c>
      <c r="V1475" t="s">
        <v>1582</v>
      </c>
      <c r="W1475" t="s">
        <v>1592</v>
      </c>
      <c r="X1475">
        <v>12.68</v>
      </c>
    </row>
    <row r="1476" spans="1:24" x14ac:dyDescent="0.25">
      <c r="A1476" t="s">
        <v>1496</v>
      </c>
      <c r="B1476" s="4">
        <v>46029</v>
      </c>
      <c r="C1476" s="4" t="str">
        <f t="shared" si="46"/>
        <v>Jan</v>
      </c>
      <c r="D1476" t="s">
        <v>1522</v>
      </c>
      <c r="E1476" t="s">
        <v>1527</v>
      </c>
      <c r="F1476" t="s">
        <v>1536</v>
      </c>
      <c r="G1476" t="s">
        <v>1546</v>
      </c>
      <c r="H1476" t="s">
        <v>1551</v>
      </c>
      <c r="I1476">
        <v>2025</v>
      </c>
      <c r="J1476" t="s">
        <v>1554</v>
      </c>
      <c r="K1476" t="s">
        <v>1556</v>
      </c>
      <c r="L1476">
        <v>996831</v>
      </c>
      <c r="M1476">
        <v>925359</v>
      </c>
      <c r="N1476">
        <v>71472</v>
      </c>
      <c r="O1476">
        <v>44</v>
      </c>
      <c r="P1476" t="str">
        <f t="shared" si="47"/>
        <v>adult</v>
      </c>
      <c r="Q1476" t="s">
        <v>1558</v>
      </c>
      <c r="R1476" t="s">
        <v>1562</v>
      </c>
      <c r="S1476" t="s">
        <v>1570</v>
      </c>
      <c r="T1476">
        <v>1802941</v>
      </c>
      <c r="U1476">
        <v>1</v>
      </c>
      <c r="V1476" t="s">
        <v>1581</v>
      </c>
      <c r="W1476" t="s">
        <v>1591</v>
      </c>
      <c r="X1476">
        <v>7.17</v>
      </c>
    </row>
    <row r="1477" spans="1:24" x14ac:dyDescent="0.25">
      <c r="A1477" t="s">
        <v>1497</v>
      </c>
      <c r="B1477" s="4">
        <v>45743</v>
      </c>
      <c r="C1477" s="4" t="str">
        <f t="shared" si="46"/>
        <v>Mar</v>
      </c>
      <c r="D1477" t="s">
        <v>1522</v>
      </c>
      <c r="E1477" t="s">
        <v>1526</v>
      </c>
      <c r="F1477" t="s">
        <v>1529</v>
      </c>
      <c r="G1477" t="s">
        <v>1543</v>
      </c>
      <c r="H1477" t="s">
        <v>1551</v>
      </c>
      <c r="I1477">
        <v>2025</v>
      </c>
      <c r="J1477" t="s">
        <v>1554</v>
      </c>
      <c r="K1477" t="s">
        <v>1556</v>
      </c>
      <c r="L1477">
        <v>752236</v>
      </c>
      <c r="M1477">
        <v>726038</v>
      </c>
      <c r="N1477">
        <v>26198</v>
      </c>
      <c r="O1477">
        <v>32</v>
      </c>
      <c r="P1477" t="str">
        <f t="shared" si="47"/>
        <v>adult</v>
      </c>
      <c r="Q1477" t="s">
        <v>1559</v>
      </c>
      <c r="R1477" t="s">
        <v>1562</v>
      </c>
      <c r="S1477" t="s">
        <v>1567</v>
      </c>
      <c r="T1477">
        <v>200359</v>
      </c>
      <c r="U1477">
        <v>2</v>
      </c>
      <c r="V1477" t="s">
        <v>1588</v>
      </c>
      <c r="W1477" t="s">
        <v>1591</v>
      </c>
      <c r="X1477">
        <v>3.48</v>
      </c>
    </row>
    <row r="1478" spans="1:24" x14ac:dyDescent="0.25">
      <c r="A1478" t="s">
        <v>1498</v>
      </c>
      <c r="B1478" s="4">
        <v>45755</v>
      </c>
      <c r="C1478" s="4" t="str">
        <f t="shared" si="46"/>
        <v>Apr</v>
      </c>
      <c r="D1478" t="s">
        <v>1522</v>
      </c>
      <c r="E1478" t="s">
        <v>1523</v>
      </c>
      <c r="F1478" t="s">
        <v>1534</v>
      </c>
      <c r="G1478" t="s">
        <v>1546</v>
      </c>
      <c r="H1478" t="s">
        <v>1552</v>
      </c>
      <c r="I1478">
        <v>2025</v>
      </c>
      <c r="J1478" t="s">
        <v>1555</v>
      </c>
      <c r="K1478" t="s">
        <v>1556</v>
      </c>
      <c r="L1478">
        <v>2024297</v>
      </c>
      <c r="M1478">
        <v>1693130</v>
      </c>
      <c r="N1478">
        <v>331167</v>
      </c>
      <c r="O1478">
        <v>22</v>
      </c>
      <c r="P1478" t="str">
        <f t="shared" si="47"/>
        <v>young</v>
      </c>
      <c r="Q1478" t="s">
        <v>1558</v>
      </c>
      <c r="R1478" t="s">
        <v>1563</v>
      </c>
      <c r="S1478" t="s">
        <v>1568</v>
      </c>
      <c r="T1478">
        <v>688666</v>
      </c>
      <c r="U1478">
        <v>3</v>
      </c>
      <c r="V1478" t="s">
        <v>1573</v>
      </c>
      <c r="W1478" t="s">
        <v>1592</v>
      </c>
      <c r="X1478">
        <v>16.36</v>
      </c>
    </row>
    <row r="1479" spans="1:24" x14ac:dyDescent="0.25">
      <c r="A1479" t="s">
        <v>1499</v>
      </c>
      <c r="B1479" s="4">
        <v>45908</v>
      </c>
      <c r="C1479" s="4" t="str">
        <f t="shared" si="46"/>
        <v>Sep</v>
      </c>
      <c r="D1479" t="s">
        <v>1522</v>
      </c>
      <c r="E1479" t="s">
        <v>1526</v>
      </c>
      <c r="F1479" t="s">
        <v>1529</v>
      </c>
      <c r="G1479" t="s">
        <v>1539</v>
      </c>
      <c r="H1479" t="s">
        <v>1550</v>
      </c>
      <c r="I1479">
        <v>2023</v>
      </c>
      <c r="J1479" t="s">
        <v>1554</v>
      </c>
      <c r="K1479" t="s">
        <v>1556</v>
      </c>
      <c r="L1479">
        <v>1739978</v>
      </c>
      <c r="M1479">
        <v>1434909</v>
      </c>
      <c r="N1479">
        <v>305069</v>
      </c>
      <c r="O1479">
        <v>60</v>
      </c>
      <c r="P1479" t="str">
        <f t="shared" si="47"/>
        <v>senior</v>
      </c>
      <c r="Q1479" t="s">
        <v>1558</v>
      </c>
      <c r="R1479" t="s">
        <v>1561</v>
      </c>
      <c r="S1479" t="s">
        <v>1568</v>
      </c>
      <c r="T1479">
        <v>1609371</v>
      </c>
      <c r="U1479">
        <v>1</v>
      </c>
      <c r="V1479" t="s">
        <v>1577</v>
      </c>
      <c r="W1479" t="s">
        <v>1594</v>
      </c>
      <c r="X1479">
        <v>17.53</v>
      </c>
    </row>
    <row r="1480" spans="1:24" x14ac:dyDescent="0.25">
      <c r="A1480" t="s">
        <v>1500</v>
      </c>
      <c r="B1480" s="4">
        <v>45960</v>
      </c>
      <c r="C1480" s="4" t="str">
        <f t="shared" si="46"/>
        <v>Oct</v>
      </c>
      <c r="D1480" t="s">
        <v>1522</v>
      </c>
      <c r="E1480" t="s">
        <v>1527</v>
      </c>
      <c r="F1480" t="s">
        <v>1533</v>
      </c>
      <c r="G1480" t="s">
        <v>1542</v>
      </c>
      <c r="H1480" t="s">
        <v>1550</v>
      </c>
      <c r="I1480">
        <v>2025</v>
      </c>
      <c r="J1480" t="s">
        <v>1554</v>
      </c>
      <c r="K1480" t="s">
        <v>1556</v>
      </c>
      <c r="L1480">
        <v>1622307</v>
      </c>
      <c r="M1480">
        <v>1298049</v>
      </c>
      <c r="N1480">
        <v>324258</v>
      </c>
      <c r="O1480">
        <v>60</v>
      </c>
      <c r="P1480" t="str">
        <f t="shared" si="47"/>
        <v>senior</v>
      </c>
      <c r="Q1480" t="s">
        <v>1559</v>
      </c>
      <c r="R1480" t="s">
        <v>1562</v>
      </c>
      <c r="S1480" t="s">
        <v>1567</v>
      </c>
      <c r="T1480">
        <v>1322245</v>
      </c>
      <c r="U1480">
        <v>4</v>
      </c>
      <c r="V1480" t="s">
        <v>1574</v>
      </c>
      <c r="W1480" t="s">
        <v>1593</v>
      </c>
      <c r="X1480">
        <v>19.989999999999998</v>
      </c>
    </row>
    <row r="1481" spans="1:24" x14ac:dyDescent="0.25">
      <c r="A1481" t="s">
        <v>1501</v>
      </c>
      <c r="B1481" s="4">
        <v>46153</v>
      </c>
      <c r="C1481" s="4" t="str">
        <f t="shared" si="46"/>
        <v>May</v>
      </c>
      <c r="D1481" t="s">
        <v>1522</v>
      </c>
      <c r="E1481" t="s">
        <v>1526</v>
      </c>
      <c r="F1481" t="s">
        <v>1534</v>
      </c>
      <c r="G1481" t="s">
        <v>1542</v>
      </c>
      <c r="H1481" t="s">
        <v>4</v>
      </c>
      <c r="I1481">
        <v>2025</v>
      </c>
      <c r="J1481" t="s">
        <v>1554</v>
      </c>
      <c r="K1481" t="s">
        <v>1556</v>
      </c>
      <c r="L1481">
        <v>1357626</v>
      </c>
      <c r="M1481">
        <v>1221820</v>
      </c>
      <c r="N1481">
        <v>135806</v>
      </c>
      <c r="O1481">
        <v>58</v>
      </c>
      <c r="P1481" t="str">
        <f t="shared" si="47"/>
        <v>senior</v>
      </c>
      <c r="Q1481" t="s">
        <v>1559</v>
      </c>
      <c r="R1481" t="s">
        <v>1563</v>
      </c>
      <c r="S1481" t="s">
        <v>1568</v>
      </c>
      <c r="T1481">
        <v>1480002</v>
      </c>
      <c r="U1481">
        <v>2</v>
      </c>
      <c r="V1481" t="s">
        <v>1590</v>
      </c>
      <c r="W1481" t="s">
        <v>1592</v>
      </c>
      <c r="X1481">
        <v>10</v>
      </c>
    </row>
    <row r="1482" spans="1:24" x14ac:dyDescent="0.25">
      <c r="A1482" t="s">
        <v>1502</v>
      </c>
      <c r="B1482" s="4">
        <v>46003</v>
      </c>
      <c r="C1482" s="4" t="str">
        <f t="shared" si="46"/>
        <v>Dec</v>
      </c>
      <c r="D1482" t="s">
        <v>1522</v>
      </c>
      <c r="E1482" t="s">
        <v>1524</v>
      </c>
      <c r="F1482" t="s">
        <v>1534</v>
      </c>
      <c r="G1482" t="s">
        <v>1538</v>
      </c>
      <c r="H1482" t="s">
        <v>1551</v>
      </c>
      <c r="I1482">
        <v>2023</v>
      </c>
      <c r="J1482" t="s">
        <v>1554</v>
      </c>
      <c r="K1482" t="s">
        <v>1556</v>
      </c>
      <c r="L1482">
        <v>960867</v>
      </c>
      <c r="M1482">
        <v>841651</v>
      </c>
      <c r="N1482">
        <v>119216</v>
      </c>
      <c r="O1482">
        <v>49</v>
      </c>
      <c r="P1482" t="str">
        <f t="shared" si="47"/>
        <v>adult</v>
      </c>
      <c r="Q1482" t="s">
        <v>1559</v>
      </c>
      <c r="R1482" t="s">
        <v>1562</v>
      </c>
      <c r="S1482" t="s">
        <v>1567</v>
      </c>
      <c r="T1482">
        <v>299234</v>
      </c>
      <c r="U1482">
        <v>2</v>
      </c>
      <c r="V1482" t="s">
        <v>1575</v>
      </c>
      <c r="W1482" t="s">
        <v>1593</v>
      </c>
      <c r="X1482">
        <v>12.41</v>
      </c>
    </row>
    <row r="1483" spans="1:24" x14ac:dyDescent="0.25">
      <c r="A1483" t="s">
        <v>1503</v>
      </c>
      <c r="B1483" s="4">
        <v>45843</v>
      </c>
      <c r="C1483" s="4" t="str">
        <f t="shared" si="46"/>
        <v>Jul</v>
      </c>
      <c r="D1483" t="s">
        <v>1522</v>
      </c>
      <c r="E1483" t="s">
        <v>1527</v>
      </c>
      <c r="F1483" t="s">
        <v>1537</v>
      </c>
      <c r="G1483" t="s">
        <v>1544</v>
      </c>
      <c r="H1483" t="s">
        <v>4</v>
      </c>
      <c r="I1483">
        <v>2025</v>
      </c>
      <c r="J1483" t="s">
        <v>1554</v>
      </c>
      <c r="K1483" t="s">
        <v>1557</v>
      </c>
      <c r="L1483">
        <v>1611775</v>
      </c>
      <c r="M1483">
        <v>1427171</v>
      </c>
      <c r="N1483">
        <v>184604</v>
      </c>
      <c r="O1483">
        <v>42</v>
      </c>
      <c r="P1483" t="str">
        <f t="shared" si="47"/>
        <v>adult</v>
      </c>
      <c r="Q1483" t="s">
        <v>1558</v>
      </c>
      <c r="R1483" t="s">
        <v>1565</v>
      </c>
      <c r="S1483" t="s">
        <v>1567</v>
      </c>
      <c r="T1483">
        <v>1611396</v>
      </c>
      <c r="U1483">
        <v>3</v>
      </c>
      <c r="V1483" t="s">
        <v>1579</v>
      </c>
      <c r="W1483" t="s">
        <v>1594</v>
      </c>
      <c r="X1483">
        <v>11.45</v>
      </c>
    </row>
    <row r="1484" spans="1:24" x14ac:dyDescent="0.25">
      <c r="A1484" t="s">
        <v>1504</v>
      </c>
      <c r="B1484" s="4">
        <v>45717</v>
      </c>
      <c r="C1484" s="4" t="str">
        <f t="shared" si="46"/>
        <v>Mar</v>
      </c>
      <c r="D1484" t="s">
        <v>1522</v>
      </c>
      <c r="E1484" t="s">
        <v>1524</v>
      </c>
      <c r="F1484" t="s">
        <v>1530</v>
      </c>
      <c r="G1484" t="s">
        <v>1543</v>
      </c>
      <c r="H1484" t="s">
        <v>1550</v>
      </c>
      <c r="I1484">
        <v>2023</v>
      </c>
      <c r="J1484" t="s">
        <v>1554</v>
      </c>
      <c r="K1484" t="s">
        <v>1556</v>
      </c>
      <c r="L1484">
        <v>1432489</v>
      </c>
      <c r="M1484">
        <v>1363395</v>
      </c>
      <c r="N1484">
        <v>69094</v>
      </c>
      <c r="O1484">
        <v>42</v>
      </c>
      <c r="P1484" t="str">
        <f t="shared" si="47"/>
        <v>adult</v>
      </c>
      <c r="Q1484" t="s">
        <v>1558</v>
      </c>
      <c r="R1484" t="s">
        <v>1566</v>
      </c>
      <c r="S1484" t="s">
        <v>1569</v>
      </c>
      <c r="T1484">
        <v>1209995</v>
      </c>
      <c r="U1484">
        <v>1</v>
      </c>
      <c r="V1484" t="s">
        <v>1588</v>
      </c>
      <c r="W1484" t="s">
        <v>1591</v>
      </c>
      <c r="X1484">
        <v>4.82</v>
      </c>
    </row>
    <row r="1485" spans="1:24" x14ac:dyDescent="0.25">
      <c r="A1485" t="s">
        <v>1505</v>
      </c>
      <c r="B1485" s="4">
        <v>46254</v>
      </c>
      <c r="C1485" s="4" t="str">
        <f t="shared" si="46"/>
        <v>Aug</v>
      </c>
      <c r="D1485" t="s">
        <v>1522</v>
      </c>
      <c r="E1485" t="s">
        <v>1527</v>
      </c>
      <c r="F1485" t="s">
        <v>1535</v>
      </c>
      <c r="G1485" t="s">
        <v>1548</v>
      </c>
      <c r="H1485" t="s">
        <v>4</v>
      </c>
      <c r="I1485">
        <v>2025</v>
      </c>
      <c r="J1485" t="s">
        <v>1554</v>
      </c>
      <c r="K1485" t="s">
        <v>1556</v>
      </c>
      <c r="L1485">
        <v>1280560</v>
      </c>
      <c r="M1485">
        <v>1120750</v>
      </c>
      <c r="N1485">
        <v>159810</v>
      </c>
      <c r="O1485">
        <v>26</v>
      </c>
      <c r="P1485" t="str">
        <f t="shared" si="47"/>
        <v>young</v>
      </c>
      <c r="Q1485" t="s">
        <v>1559</v>
      </c>
      <c r="R1485" t="s">
        <v>1561</v>
      </c>
      <c r="S1485" t="s">
        <v>1568</v>
      </c>
      <c r="T1485">
        <v>703582</v>
      </c>
      <c r="U1485">
        <v>3</v>
      </c>
      <c r="V1485" t="s">
        <v>1576</v>
      </c>
      <c r="W1485" t="s">
        <v>1594</v>
      </c>
      <c r="X1485">
        <v>12.48</v>
      </c>
    </row>
    <row r="1486" spans="1:24" x14ac:dyDescent="0.25">
      <c r="A1486" t="s">
        <v>1506</v>
      </c>
      <c r="B1486" s="4">
        <v>46139</v>
      </c>
      <c r="C1486" s="4" t="str">
        <f t="shared" si="46"/>
        <v>Apr</v>
      </c>
      <c r="D1486" t="s">
        <v>1522</v>
      </c>
      <c r="E1486" t="s">
        <v>1527</v>
      </c>
      <c r="F1486" t="s">
        <v>1535</v>
      </c>
      <c r="G1486" t="s">
        <v>1538</v>
      </c>
      <c r="H1486" t="s">
        <v>1551</v>
      </c>
      <c r="I1486">
        <v>2024</v>
      </c>
      <c r="J1486" t="s">
        <v>1554</v>
      </c>
      <c r="K1486" t="s">
        <v>1557</v>
      </c>
      <c r="L1486">
        <v>907662</v>
      </c>
      <c r="M1486">
        <v>829137</v>
      </c>
      <c r="N1486">
        <v>78525</v>
      </c>
      <c r="O1486">
        <v>60</v>
      </c>
      <c r="P1486" t="str">
        <f t="shared" si="47"/>
        <v>senior</v>
      </c>
      <c r="Q1486" t="s">
        <v>1559</v>
      </c>
      <c r="R1486" t="s">
        <v>1566</v>
      </c>
      <c r="S1486" t="s">
        <v>1570</v>
      </c>
      <c r="T1486">
        <v>1993346</v>
      </c>
      <c r="U1486">
        <v>3</v>
      </c>
      <c r="V1486" t="s">
        <v>1580</v>
      </c>
      <c r="W1486" t="s">
        <v>1592</v>
      </c>
      <c r="X1486">
        <v>8.65</v>
      </c>
    </row>
    <row r="1487" spans="1:24" x14ac:dyDescent="0.25">
      <c r="A1487" t="s">
        <v>1507</v>
      </c>
      <c r="B1487" s="4">
        <v>46139</v>
      </c>
      <c r="C1487" s="4" t="str">
        <f t="shared" si="46"/>
        <v>Apr</v>
      </c>
      <c r="D1487" t="s">
        <v>1522</v>
      </c>
      <c r="E1487" t="s">
        <v>1526</v>
      </c>
      <c r="F1487" t="s">
        <v>1528</v>
      </c>
      <c r="G1487" t="s">
        <v>1540</v>
      </c>
      <c r="H1487" t="s">
        <v>4</v>
      </c>
      <c r="I1487">
        <v>2023</v>
      </c>
      <c r="J1487" t="s">
        <v>1554</v>
      </c>
      <c r="K1487" t="s">
        <v>1556</v>
      </c>
      <c r="L1487">
        <v>1773634</v>
      </c>
      <c r="M1487">
        <v>1570037</v>
      </c>
      <c r="N1487">
        <v>203597</v>
      </c>
      <c r="O1487">
        <v>57</v>
      </c>
      <c r="P1487" t="str">
        <f t="shared" si="47"/>
        <v>senior</v>
      </c>
      <c r="Q1487" t="s">
        <v>1559</v>
      </c>
      <c r="R1487" t="s">
        <v>1562</v>
      </c>
      <c r="S1487" t="s">
        <v>1567</v>
      </c>
      <c r="T1487">
        <v>1801144</v>
      </c>
      <c r="U1487">
        <v>2</v>
      </c>
      <c r="V1487" t="s">
        <v>1580</v>
      </c>
      <c r="W1487" t="s">
        <v>1592</v>
      </c>
      <c r="X1487">
        <v>11.48</v>
      </c>
    </row>
    <row r="1488" spans="1:24" x14ac:dyDescent="0.25">
      <c r="A1488" t="s">
        <v>1508</v>
      </c>
      <c r="B1488" s="4">
        <v>46076</v>
      </c>
      <c r="C1488" s="4" t="str">
        <f t="shared" si="46"/>
        <v>Feb</v>
      </c>
      <c r="D1488" t="s">
        <v>1522</v>
      </c>
      <c r="E1488" t="s">
        <v>1527</v>
      </c>
      <c r="F1488" t="s">
        <v>1528</v>
      </c>
      <c r="G1488" t="s">
        <v>1544</v>
      </c>
      <c r="H1488" t="s">
        <v>4</v>
      </c>
      <c r="I1488">
        <v>2024</v>
      </c>
      <c r="J1488" t="s">
        <v>1554</v>
      </c>
      <c r="K1488" t="s">
        <v>1557</v>
      </c>
      <c r="L1488">
        <v>1368031</v>
      </c>
      <c r="M1488">
        <v>1220060</v>
      </c>
      <c r="N1488">
        <v>147971</v>
      </c>
      <c r="O1488">
        <v>51</v>
      </c>
      <c r="P1488" t="str">
        <f t="shared" si="47"/>
        <v>senior</v>
      </c>
      <c r="Q1488" t="s">
        <v>1558</v>
      </c>
      <c r="R1488" t="s">
        <v>1562</v>
      </c>
      <c r="S1488" t="s">
        <v>1568</v>
      </c>
      <c r="T1488">
        <v>1339541</v>
      </c>
      <c r="U1488">
        <v>1</v>
      </c>
      <c r="V1488" t="s">
        <v>1589</v>
      </c>
      <c r="W1488" t="s">
        <v>1591</v>
      </c>
      <c r="X1488">
        <v>10.82</v>
      </c>
    </row>
    <row r="1489" spans="1:24" x14ac:dyDescent="0.25">
      <c r="A1489" t="s">
        <v>1509</v>
      </c>
      <c r="B1489" s="4">
        <v>46056</v>
      </c>
      <c r="C1489" s="4" t="str">
        <f t="shared" si="46"/>
        <v>Feb</v>
      </c>
      <c r="D1489" t="s">
        <v>1522</v>
      </c>
      <c r="E1489" t="s">
        <v>1525</v>
      </c>
      <c r="F1489" t="s">
        <v>1532</v>
      </c>
      <c r="G1489" t="s">
        <v>1544</v>
      </c>
      <c r="H1489" t="s">
        <v>1552</v>
      </c>
      <c r="I1489">
        <v>2024</v>
      </c>
      <c r="J1489" t="s">
        <v>1555</v>
      </c>
      <c r="K1489" t="s">
        <v>1556</v>
      </c>
      <c r="L1489">
        <v>1904148</v>
      </c>
      <c r="M1489">
        <v>1573260</v>
      </c>
      <c r="N1489">
        <v>330888</v>
      </c>
      <c r="O1489">
        <v>46</v>
      </c>
      <c r="P1489" t="str">
        <f t="shared" si="47"/>
        <v>adult</v>
      </c>
      <c r="Q1489" t="s">
        <v>1558</v>
      </c>
      <c r="R1489" t="s">
        <v>1564</v>
      </c>
      <c r="S1489" t="s">
        <v>1569</v>
      </c>
      <c r="T1489">
        <v>2139169</v>
      </c>
      <c r="U1489">
        <v>4</v>
      </c>
      <c r="V1489" t="s">
        <v>1589</v>
      </c>
      <c r="W1489" t="s">
        <v>1591</v>
      </c>
      <c r="X1489">
        <v>17.38</v>
      </c>
    </row>
    <row r="1490" spans="1:24" x14ac:dyDescent="0.25">
      <c r="A1490" t="s">
        <v>1510</v>
      </c>
      <c r="B1490" s="4">
        <v>45723</v>
      </c>
      <c r="C1490" s="4" t="str">
        <f t="shared" si="46"/>
        <v>Mar</v>
      </c>
      <c r="D1490" t="s">
        <v>1522</v>
      </c>
      <c r="E1490" t="s">
        <v>1523</v>
      </c>
      <c r="F1490" t="s">
        <v>1535</v>
      </c>
      <c r="G1490" t="s">
        <v>1543</v>
      </c>
      <c r="H1490" t="s">
        <v>1551</v>
      </c>
      <c r="I1490">
        <v>2025</v>
      </c>
      <c r="J1490" t="s">
        <v>1554</v>
      </c>
      <c r="K1490" t="s">
        <v>1557</v>
      </c>
      <c r="L1490">
        <v>754467</v>
      </c>
      <c r="M1490">
        <v>739467</v>
      </c>
      <c r="N1490">
        <v>15000</v>
      </c>
      <c r="O1490">
        <v>37</v>
      </c>
      <c r="P1490" t="str">
        <f t="shared" si="47"/>
        <v>adult</v>
      </c>
      <c r="Q1490" t="s">
        <v>1559</v>
      </c>
      <c r="R1490" t="s">
        <v>1565</v>
      </c>
      <c r="S1490" t="s">
        <v>1567</v>
      </c>
      <c r="T1490">
        <v>2031935</v>
      </c>
      <c r="U1490">
        <v>4</v>
      </c>
      <c r="V1490" t="s">
        <v>1588</v>
      </c>
      <c r="W1490" t="s">
        <v>1591</v>
      </c>
      <c r="X1490">
        <v>1.99</v>
      </c>
    </row>
    <row r="1491" spans="1:24" x14ac:dyDescent="0.25">
      <c r="A1491" t="s">
        <v>1511</v>
      </c>
      <c r="B1491" s="4">
        <v>46086</v>
      </c>
      <c r="C1491" s="4" t="str">
        <f t="shared" si="46"/>
        <v>Mar</v>
      </c>
      <c r="D1491" t="s">
        <v>1522</v>
      </c>
      <c r="E1491" t="s">
        <v>1525</v>
      </c>
      <c r="F1491" t="s">
        <v>1529</v>
      </c>
      <c r="G1491" t="s">
        <v>1548</v>
      </c>
      <c r="H1491" t="s">
        <v>1551</v>
      </c>
      <c r="I1491">
        <v>2022</v>
      </c>
      <c r="J1491" t="s">
        <v>1554</v>
      </c>
      <c r="K1491" t="s">
        <v>1556</v>
      </c>
      <c r="L1491">
        <v>1030721</v>
      </c>
      <c r="M1491">
        <v>834091</v>
      </c>
      <c r="N1491">
        <v>196630</v>
      </c>
      <c r="O1491">
        <v>24</v>
      </c>
      <c r="P1491" t="str">
        <f t="shared" si="47"/>
        <v>young</v>
      </c>
      <c r="Q1491" t="s">
        <v>1558</v>
      </c>
      <c r="R1491" t="s">
        <v>1564</v>
      </c>
      <c r="S1491" t="s">
        <v>1567</v>
      </c>
      <c r="T1491">
        <v>335574</v>
      </c>
      <c r="U1491">
        <v>4</v>
      </c>
      <c r="V1491" t="s">
        <v>1586</v>
      </c>
      <c r="W1491" t="s">
        <v>1591</v>
      </c>
      <c r="X1491">
        <v>19.079999999999998</v>
      </c>
    </row>
    <row r="1492" spans="1:24" x14ac:dyDescent="0.25">
      <c r="A1492" t="s">
        <v>1512</v>
      </c>
      <c r="B1492" s="4">
        <v>45969</v>
      </c>
      <c r="C1492" s="4" t="str">
        <f t="shared" si="46"/>
        <v>Nov</v>
      </c>
      <c r="D1492" t="s">
        <v>1522</v>
      </c>
      <c r="E1492" t="s">
        <v>1525</v>
      </c>
      <c r="F1492" t="s">
        <v>1533</v>
      </c>
      <c r="G1492" t="s">
        <v>1547</v>
      </c>
      <c r="H1492" t="s">
        <v>1550</v>
      </c>
      <c r="I1492">
        <v>2024</v>
      </c>
      <c r="J1492" t="s">
        <v>1554</v>
      </c>
      <c r="K1492" t="s">
        <v>1557</v>
      </c>
      <c r="L1492">
        <v>1710727</v>
      </c>
      <c r="M1492">
        <v>1552271</v>
      </c>
      <c r="N1492">
        <v>158456</v>
      </c>
      <c r="O1492">
        <v>23</v>
      </c>
      <c r="P1492" t="str">
        <f t="shared" si="47"/>
        <v>young</v>
      </c>
      <c r="Q1492" t="s">
        <v>1558</v>
      </c>
      <c r="R1492" t="s">
        <v>1563</v>
      </c>
      <c r="S1492" t="s">
        <v>1568</v>
      </c>
      <c r="T1492">
        <v>1825709</v>
      </c>
      <c r="U1492">
        <v>2</v>
      </c>
      <c r="V1492" t="s">
        <v>1583</v>
      </c>
      <c r="W1492" t="s">
        <v>1593</v>
      </c>
      <c r="X1492">
        <v>9.26</v>
      </c>
    </row>
    <row r="1493" spans="1:24" x14ac:dyDescent="0.25">
      <c r="A1493" t="s">
        <v>1513</v>
      </c>
      <c r="B1493" s="4">
        <v>46206</v>
      </c>
      <c r="C1493" s="4" t="str">
        <f t="shared" si="46"/>
        <v>Jul</v>
      </c>
      <c r="D1493" t="s">
        <v>1522</v>
      </c>
      <c r="E1493" t="s">
        <v>1527</v>
      </c>
      <c r="F1493" t="s">
        <v>1531</v>
      </c>
      <c r="G1493" t="s">
        <v>1548</v>
      </c>
      <c r="H1493" t="s">
        <v>1551</v>
      </c>
      <c r="I1493">
        <v>2022</v>
      </c>
      <c r="J1493" t="s">
        <v>1554</v>
      </c>
      <c r="K1493" t="s">
        <v>1557</v>
      </c>
      <c r="L1493">
        <v>829949</v>
      </c>
      <c r="M1493">
        <v>790501</v>
      </c>
      <c r="N1493">
        <v>39448</v>
      </c>
      <c r="O1493">
        <v>36</v>
      </c>
      <c r="P1493" t="str">
        <f t="shared" si="47"/>
        <v>adult</v>
      </c>
      <c r="Q1493" t="s">
        <v>1558</v>
      </c>
      <c r="R1493" t="s">
        <v>1564</v>
      </c>
      <c r="S1493" t="s">
        <v>1570</v>
      </c>
      <c r="T1493">
        <v>1034119</v>
      </c>
      <c r="U1493">
        <v>4</v>
      </c>
      <c r="V1493" t="s">
        <v>1587</v>
      </c>
      <c r="W1493" t="s">
        <v>1594</v>
      </c>
      <c r="X1493">
        <v>4.75</v>
      </c>
    </row>
    <row r="1494" spans="1:24" x14ac:dyDescent="0.25">
      <c r="A1494" t="s">
        <v>1514</v>
      </c>
      <c r="B1494" s="4">
        <v>45811</v>
      </c>
      <c r="C1494" s="4" t="str">
        <f t="shared" si="46"/>
        <v>Jun</v>
      </c>
      <c r="D1494" t="s">
        <v>1522</v>
      </c>
      <c r="E1494" t="s">
        <v>1527</v>
      </c>
      <c r="F1494" t="s">
        <v>1536</v>
      </c>
      <c r="G1494" t="s">
        <v>1539</v>
      </c>
      <c r="H1494" t="s">
        <v>1550</v>
      </c>
      <c r="I1494">
        <v>2025</v>
      </c>
      <c r="J1494" t="s">
        <v>1554</v>
      </c>
      <c r="K1494" t="s">
        <v>1556</v>
      </c>
      <c r="L1494">
        <v>1459673</v>
      </c>
      <c r="M1494">
        <v>1207495</v>
      </c>
      <c r="N1494">
        <v>252178</v>
      </c>
      <c r="O1494">
        <v>43</v>
      </c>
      <c r="P1494" t="str">
        <f t="shared" si="47"/>
        <v>adult</v>
      </c>
      <c r="Q1494" t="s">
        <v>1558</v>
      </c>
      <c r="R1494" t="s">
        <v>1564</v>
      </c>
      <c r="S1494" t="s">
        <v>1570</v>
      </c>
      <c r="T1494">
        <v>1320053</v>
      </c>
      <c r="U1494">
        <v>3</v>
      </c>
      <c r="V1494" t="s">
        <v>1584</v>
      </c>
      <c r="W1494" t="s">
        <v>1592</v>
      </c>
      <c r="X1494">
        <v>17.28</v>
      </c>
    </row>
    <row r="1495" spans="1:24" x14ac:dyDescent="0.25">
      <c r="A1495" t="s">
        <v>1515</v>
      </c>
      <c r="B1495" s="4">
        <v>45924</v>
      </c>
      <c r="C1495" s="4" t="str">
        <f t="shared" si="46"/>
        <v>Sep</v>
      </c>
      <c r="D1495" t="s">
        <v>1522</v>
      </c>
      <c r="E1495" t="s">
        <v>1525</v>
      </c>
      <c r="F1495" t="s">
        <v>1531</v>
      </c>
      <c r="G1495" t="s">
        <v>1546</v>
      </c>
      <c r="H1495" t="s">
        <v>1550</v>
      </c>
      <c r="I1495">
        <v>2026</v>
      </c>
      <c r="J1495" t="s">
        <v>1554</v>
      </c>
      <c r="K1495" t="s">
        <v>1556</v>
      </c>
      <c r="L1495">
        <v>1364937</v>
      </c>
      <c r="M1495">
        <v>1225383</v>
      </c>
      <c r="N1495">
        <v>139554</v>
      </c>
      <c r="O1495">
        <v>53</v>
      </c>
      <c r="P1495" t="str">
        <f t="shared" si="47"/>
        <v>senior</v>
      </c>
      <c r="Q1495" t="s">
        <v>1558</v>
      </c>
      <c r="R1495" t="s">
        <v>1566</v>
      </c>
      <c r="S1495" t="s">
        <v>1570</v>
      </c>
      <c r="T1495">
        <v>1845861</v>
      </c>
      <c r="U1495">
        <v>3</v>
      </c>
      <c r="V1495" t="s">
        <v>1577</v>
      </c>
      <c r="W1495" t="s">
        <v>1594</v>
      </c>
      <c r="X1495">
        <v>10.220000000000001</v>
      </c>
    </row>
    <row r="1496" spans="1:24" x14ac:dyDescent="0.25">
      <c r="A1496" t="s">
        <v>1516</v>
      </c>
      <c r="B1496" s="4">
        <v>45777</v>
      </c>
      <c r="C1496" s="4" t="str">
        <f t="shared" si="46"/>
        <v>Apr</v>
      </c>
      <c r="D1496" t="s">
        <v>1522</v>
      </c>
      <c r="E1496" t="s">
        <v>1527</v>
      </c>
      <c r="F1496" t="s">
        <v>1531</v>
      </c>
      <c r="G1496" t="s">
        <v>1544</v>
      </c>
      <c r="H1496" t="s">
        <v>4</v>
      </c>
      <c r="I1496">
        <v>2025</v>
      </c>
      <c r="J1496" t="s">
        <v>1554</v>
      </c>
      <c r="K1496" t="s">
        <v>1556</v>
      </c>
      <c r="L1496">
        <v>1328426</v>
      </c>
      <c r="M1496">
        <v>1284671</v>
      </c>
      <c r="N1496">
        <v>43755</v>
      </c>
      <c r="O1496">
        <v>48</v>
      </c>
      <c r="P1496" t="str">
        <f t="shared" si="47"/>
        <v>adult</v>
      </c>
      <c r="Q1496" t="s">
        <v>1559</v>
      </c>
      <c r="R1496" t="s">
        <v>1566</v>
      </c>
      <c r="S1496" t="s">
        <v>1569</v>
      </c>
      <c r="T1496">
        <v>184611</v>
      </c>
      <c r="U1496">
        <v>1</v>
      </c>
      <c r="V1496" t="s">
        <v>1573</v>
      </c>
      <c r="W1496" t="s">
        <v>1592</v>
      </c>
      <c r="X1496">
        <v>3.29</v>
      </c>
    </row>
    <row r="1497" spans="1:24" x14ac:dyDescent="0.25">
      <c r="A1497" t="s">
        <v>1517</v>
      </c>
      <c r="B1497" s="4">
        <v>45686</v>
      </c>
      <c r="C1497" s="4" t="str">
        <f t="shared" si="46"/>
        <v>Jan</v>
      </c>
      <c r="D1497" t="s">
        <v>1522</v>
      </c>
      <c r="E1497" t="s">
        <v>1524</v>
      </c>
      <c r="F1497" t="s">
        <v>1537</v>
      </c>
      <c r="G1497" t="s">
        <v>1543</v>
      </c>
      <c r="H1497" t="s">
        <v>1551</v>
      </c>
      <c r="I1497">
        <v>2026</v>
      </c>
      <c r="J1497" t="s">
        <v>1554</v>
      </c>
      <c r="K1497" t="s">
        <v>1556</v>
      </c>
      <c r="L1497">
        <v>741581</v>
      </c>
      <c r="M1497">
        <v>680708</v>
      </c>
      <c r="N1497">
        <v>60873</v>
      </c>
      <c r="O1497">
        <v>45</v>
      </c>
      <c r="P1497" t="str">
        <f t="shared" si="47"/>
        <v>adult</v>
      </c>
      <c r="Q1497" t="s">
        <v>1559</v>
      </c>
      <c r="R1497" t="s">
        <v>1562</v>
      </c>
      <c r="S1497" t="s">
        <v>1568</v>
      </c>
      <c r="T1497">
        <v>1121151</v>
      </c>
      <c r="U1497">
        <v>1</v>
      </c>
      <c r="V1497" t="s">
        <v>1571</v>
      </c>
      <c r="W1497" t="s">
        <v>1591</v>
      </c>
      <c r="X1497">
        <v>8.2100000000000009</v>
      </c>
    </row>
    <row r="1498" spans="1:24" x14ac:dyDescent="0.25">
      <c r="A1498" t="s">
        <v>1518</v>
      </c>
      <c r="B1498" s="4">
        <v>45681</v>
      </c>
      <c r="C1498" s="4" t="str">
        <f t="shared" si="46"/>
        <v>Jan</v>
      </c>
      <c r="D1498" t="s">
        <v>1522</v>
      </c>
      <c r="E1498" t="s">
        <v>1523</v>
      </c>
      <c r="F1498" t="s">
        <v>1534</v>
      </c>
      <c r="G1498" t="s">
        <v>1549</v>
      </c>
      <c r="H1498" t="s">
        <v>4</v>
      </c>
      <c r="I1498">
        <v>2025</v>
      </c>
      <c r="J1498" t="s">
        <v>1554</v>
      </c>
      <c r="K1498" t="s">
        <v>1557</v>
      </c>
      <c r="L1498">
        <v>1738112</v>
      </c>
      <c r="M1498">
        <v>1417786</v>
      </c>
      <c r="N1498">
        <v>320326</v>
      </c>
      <c r="O1498">
        <v>44</v>
      </c>
      <c r="P1498" t="str">
        <f t="shared" si="47"/>
        <v>adult</v>
      </c>
      <c r="Q1498" t="s">
        <v>1558</v>
      </c>
      <c r="R1498" t="s">
        <v>1565</v>
      </c>
      <c r="S1498" t="s">
        <v>1570</v>
      </c>
      <c r="T1498">
        <v>1235523</v>
      </c>
      <c r="U1498">
        <v>1</v>
      </c>
      <c r="V1498" t="s">
        <v>1571</v>
      </c>
      <c r="W1498" t="s">
        <v>1591</v>
      </c>
      <c r="X1498">
        <v>18.43</v>
      </c>
    </row>
    <row r="1499" spans="1:24" x14ac:dyDescent="0.25">
      <c r="A1499" t="s">
        <v>1519</v>
      </c>
      <c r="B1499" s="4">
        <v>46108</v>
      </c>
      <c r="C1499" s="4" t="str">
        <f t="shared" si="46"/>
        <v>Mar</v>
      </c>
      <c r="D1499" t="s">
        <v>1522</v>
      </c>
      <c r="E1499" t="s">
        <v>1526</v>
      </c>
      <c r="F1499" t="s">
        <v>1530</v>
      </c>
      <c r="G1499" t="s">
        <v>1543</v>
      </c>
      <c r="H1499" t="s">
        <v>1551</v>
      </c>
      <c r="I1499">
        <v>2025</v>
      </c>
      <c r="J1499" t="s">
        <v>1554</v>
      </c>
      <c r="K1499" t="s">
        <v>1557</v>
      </c>
      <c r="L1499">
        <v>910981</v>
      </c>
      <c r="M1499">
        <v>790632</v>
      </c>
      <c r="N1499">
        <v>120349</v>
      </c>
      <c r="O1499">
        <v>64</v>
      </c>
      <c r="P1499" t="str">
        <f t="shared" si="47"/>
        <v>senior</v>
      </c>
      <c r="Q1499" t="s">
        <v>1558</v>
      </c>
      <c r="R1499" t="s">
        <v>1565</v>
      </c>
      <c r="S1499" t="s">
        <v>1567</v>
      </c>
      <c r="T1499">
        <v>1040234</v>
      </c>
      <c r="U1499">
        <v>1</v>
      </c>
      <c r="V1499" t="s">
        <v>1586</v>
      </c>
      <c r="W1499" t="s">
        <v>1591</v>
      </c>
      <c r="X1499">
        <v>13.21</v>
      </c>
    </row>
    <row r="1500" spans="1:24" x14ac:dyDescent="0.25">
      <c r="A1500" t="s">
        <v>1520</v>
      </c>
      <c r="B1500" s="4">
        <v>45828</v>
      </c>
      <c r="C1500" s="4" t="str">
        <f t="shared" si="46"/>
        <v>Jun</v>
      </c>
      <c r="D1500" t="s">
        <v>1522</v>
      </c>
      <c r="E1500" t="s">
        <v>1526</v>
      </c>
      <c r="F1500" t="s">
        <v>1531</v>
      </c>
      <c r="G1500" t="s">
        <v>1538</v>
      </c>
      <c r="H1500" t="s">
        <v>4</v>
      </c>
      <c r="I1500">
        <v>2025</v>
      </c>
      <c r="J1500" t="s">
        <v>1554</v>
      </c>
      <c r="K1500" t="s">
        <v>1557</v>
      </c>
      <c r="L1500">
        <v>1703226</v>
      </c>
      <c r="M1500">
        <v>1597693</v>
      </c>
      <c r="N1500">
        <v>105533</v>
      </c>
      <c r="O1500">
        <v>24</v>
      </c>
      <c r="P1500" t="str">
        <f t="shared" si="47"/>
        <v>young</v>
      </c>
      <c r="Q1500" t="s">
        <v>1558</v>
      </c>
      <c r="R1500" t="s">
        <v>1565</v>
      </c>
      <c r="S1500" t="s">
        <v>1569</v>
      </c>
      <c r="T1500">
        <v>1646981</v>
      </c>
      <c r="U1500">
        <v>3</v>
      </c>
      <c r="V1500" t="s">
        <v>1584</v>
      </c>
      <c r="W1500" t="s">
        <v>1592</v>
      </c>
      <c r="X1500">
        <v>6.2</v>
      </c>
    </row>
    <row r="1501" spans="1:24" x14ac:dyDescent="0.25">
      <c r="A1501" t="s">
        <v>1521</v>
      </c>
      <c r="B1501" s="4">
        <v>45929</v>
      </c>
      <c r="C1501" s="4" t="str">
        <f t="shared" si="46"/>
        <v>Sep</v>
      </c>
      <c r="D1501" t="s">
        <v>1522</v>
      </c>
      <c r="E1501" t="s">
        <v>1524</v>
      </c>
      <c r="F1501" t="s">
        <v>1534</v>
      </c>
      <c r="G1501" t="s">
        <v>1548</v>
      </c>
      <c r="H1501" t="s">
        <v>1550</v>
      </c>
      <c r="I1501">
        <v>2026</v>
      </c>
      <c r="J1501" t="s">
        <v>1554</v>
      </c>
      <c r="K1501" t="s">
        <v>1556</v>
      </c>
      <c r="L1501">
        <v>1635530</v>
      </c>
      <c r="M1501">
        <v>1519470</v>
      </c>
      <c r="N1501">
        <v>116060</v>
      </c>
      <c r="O1501">
        <v>60</v>
      </c>
      <c r="P1501" t="str">
        <f t="shared" si="47"/>
        <v>senior</v>
      </c>
      <c r="Q1501" t="s">
        <v>1558</v>
      </c>
      <c r="R1501" t="s">
        <v>1562</v>
      </c>
      <c r="S1501" t="s">
        <v>1570</v>
      </c>
      <c r="T1501">
        <v>116433</v>
      </c>
      <c r="U1501">
        <v>3</v>
      </c>
      <c r="V1501" t="s">
        <v>1577</v>
      </c>
      <c r="W1501" t="s">
        <v>1594</v>
      </c>
      <c r="X1501">
        <v>7.1</v>
      </c>
    </row>
  </sheetData>
  <autoFilter ref="A1:X15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Honda_Sales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BVR NOIDA</cp:lastModifiedBy>
  <dcterms:created xsi:type="dcterms:W3CDTF">2026-09-20T10:34:00Z</dcterms:created>
  <dcterms:modified xsi:type="dcterms:W3CDTF">2026-09-20T11:08:25Z</dcterms:modified>
</cp:coreProperties>
</file>